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 Masters" sheetId="1" r:id="rId4"/>
    <sheet state="visible" name="2025 Masters" sheetId="2" r:id="rId5"/>
    <sheet state="visible" name="2024 Masters" sheetId="3" r:id="rId6"/>
    <sheet state="visible" name="2023 Masters" sheetId="4" r:id="rId7"/>
    <sheet state="visible" name="2022 Masters" sheetId="5" r:id="rId8"/>
    <sheet state="visible" name="2021 Masters" sheetId="6" r:id="rId9"/>
    <sheet state="visible" name="2019 Masters" sheetId="7" r:id="rId10"/>
    <sheet state="visible" name="2018 US Open" sheetId="8" r:id="rId11"/>
    <sheet state="visible" name="2018 Masters" sheetId="9" r:id="rId12"/>
    <sheet state="visible" name="2017 Summary" sheetId="10" r:id="rId13"/>
    <sheet state="visible" name="2017 PGA Championship" sheetId="11" r:id="rId14"/>
    <sheet state="visible" name="2017 Open Championship" sheetId="12" r:id="rId15"/>
    <sheet state="visible" name="2017 US Open" sheetId="13" r:id="rId16"/>
    <sheet state="visible" name="2017 Masters" sheetId="14" r:id="rId17"/>
    <sheet state="visible" name="2016 PGA Championship" sheetId="15" r:id="rId18"/>
  </sheets>
  <definedNames>
    <definedName name="Rankings">'2016 PGA Championship'!$E$15:$O$317</definedName>
  </definedNames>
  <calcPr/>
</workbook>
</file>

<file path=xl/sharedStrings.xml><?xml version="1.0" encoding="utf-8"?>
<sst xmlns="http://schemas.openxmlformats.org/spreadsheetml/2006/main" count="5600" uniqueCount="1243">
  <si>
    <t>2026 Masters</t>
  </si>
  <si>
    <t>Augusta National Golf Club</t>
  </si>
  <si>
    <t>April 9-12, 2026</t>
  </si>
  <si>
    <t>"A Tradition Unlike Any Other"</t>
  </si>
  <si>
    <t>Rules:</t>
  </si>
  <si>
    <t xml:space="preserve">1. The top 42 golfers will each be auctioned off individually followed by an auction of the field, making a total of 43 auctions. The participant who makes the highest bid will win the auction and own the player. </t>
  </si>
  <si>
    <t xml:space="preserve">     a. After winning an auction, you can make a deal with another participant to sell your player(s) at any time throughout the tournament.</t>
  </si>
  <si>
    <t xml:space="preserve">     b. The owner of the field is able to sell individual members of the field to other participants</t>
  </si>
  <si>
    <t xml:space="preserve">2. The participant that owns the winning player will receive 45% of the pot, 2nd will receive 25%, 3rd will receive 15%, 4th will receive 10% and 5th will receive 5% </t>
  </si>
  <si>
    <t xml:space="preserve">     a. If you own mutiple players in the top five, you will receive money for both players (e.g. if you own the 1st place golfer and 4th place golfer you will get 55% of the pot) </t>
  </si>
  <si>
    <t>Golfer Name</t>
  </si>
  <si>
    <t>Odds</t>
  </si>
  <si>
    <t>Owner</t>
  </si>
  <si>
    <t>Price Paid</t>
  </si>
  <si>
    <t>Participants</t>
  </si>
  <si>
    <t>Total Spent</t>
  </si>
  <si>
    <t>Paid?</t>
  </si>
  <si>
    <t>Finish</t>
  </si>
  <si>
    <t>% of Pot</t>
  </si>
  <si>
    <t>Total Won</t>
  </si>
  <si>
    <t>Scottie Schefler</t>
  </si>
  <si>
    <t>Alex Carroll</t>
  </si>
  <si>
    <t>N/A</t>
  </si>
  <si>
    <t xml:space="preserve">1st Place </t>
  </si>
  <si>
    <t>Jon Rahm</t>
  </si>
  <si>
    <t>Anthony Meek</t>
  </si>
  <si>
    <t>2nd Place</t>
  </si>
  <si>
    <t>Rory McIlroy</t>
  </si>
  <si>
    <t>Brian Black</t>
  </si>
  <si>
    <t>3rd Place</t>
  </si>
  <si>
    <t>Bryson DeChambeau</t>
  </si>
  <si>
    <t>Brian Gibbons</t>
  </si>
  <si>
    <t>4th Place</t>
  </si>
  <si>
    <t>Xander Schauffele</t>
  </si>
  <si>
    <t>16/1</t>
  </si>
  <si>
    <t>Chase Cusack</t>
  </si>
  <si>
    <t>5th Place</t>
  </si>
  <si>
    <t>Ludvig Aberg</t>
  </si>
  <si>
    <t>Joe Curran</t>
  </si>
  <si>
    <t>Cameron Young</t>
  </si>
  <si>
    <t>20/1</t>
  </si>
  <si>
    <t>Joe Mangione</t>
  </si>
  <si>
    <t>Matt Fitzpatrick</t>
  </si>
  <si>
    <t>22/1</t>
  </si>
  <si>
    <t>JP Fischer</t>
  </si>
  <si>
    <t xml:space="preserve">Final Results </t>
  </si>
  <si>
    <t>Tommy Fleetwood</t>
  </si>
  <si>
    <t>22/2</t>
  </si>
  <si>
    <t>Michael Myers</t>
  </si>
  <si>
    <t>Robert MacIntyre</t>
  </si>
  <si>
    <t>30/1</t>
  </si>
  <si>
    <t>Nick Mangione</t>
  </si>
  <si>
    <t>Justin Rose</t>
  </si>
  <si>
    <t>Patrick Dugan</t>
  </si>
  <si>
    <t>Collin Morikawa</t>
  </si>
  <si>
    <t>33/1</t>
  </si>
  <si>
    <t>Peter Berger</t>
  </si>
  <si>
    <t>Hideki Matsuyama</t>
  </si>
  <si>
    <t>35/1</t>
  </si>
  <si>
    <t>Ryan Lee</t>
  </si>
  <si>
    <t>Patrick Reed</t>
  </si>
  <si>
    <t>Scott Block</t>
  </si>
  <si>
    <t>Min Woo Lee</t>
  </si>
  <si>
    <t>Steve Licata</t>
  </si>
  <si>
    <t>Chris Gotterup</t>
  </si>
  <si>
    <t>45/1</t>
  </si>
  <si>
    <t>Taylor Smyth</t>
  </si>
  <si>
    <t>Jordan Spieth</t>
  </si>
  <si>
    <t>Erik Cobuzzi</t>
  </si>
  <si>
    <t>Brooks Koepka</t>
  </si>
  <si>
    <t>Kyle Rajotte</t>
  </si>
  <si>
    <t>Si Woo Kim</t>
  </si>
  <si>
    <t>50/1</t>
  </si>
  <si>
    <t>Total</t>
  </si>
  <si>
    <t>Shane Lowry</t>
  </si>
  <si>
    <t>55/1</t>
  </si>
  <si>
    <t>Russell Henley</t>
  </si>
  <si>
    <t>Viktor Hovland</t>
  </si>
  <si>
    <t>Akshay Bhatia</t>
  </si>
  <si>
    <t>60/1</t>
  </si>
  <si>
    <t>Adam Scott</t>
  </si>
  <si>
    <t>65/1</t>
  </si>
  <si>
    <t>Justin Thomas</t>
  </si>
  <si>
    <t>Nicolai Hojgaard</t>
  </si>
  <si>
    <t>Sepp Straka</t>
  </si>
  <si>
    <t>70/1</t>
  </si>
  <si>
    <t>Jake Knapp</t>
  </si>
  <si>
    <t>Tyrell Hatton</t>
  </si>
  <si>
    <t>JJ Spaun</t>
  </si>
  <si>
    <t>Patrick Cantlay</t>
  </si>
  <si>
    <t>Jacob Bridgeman</t>
  </si>
  <si>
    <t>Marco Penge</t>
  </si>
  <si>
    <t>80/1</t>
  </si>
  <si>
    <t>Jason Day</t>
  </si>
  <si>
    <t>Singjae Im</t>
  </si>
  <si>
    <t>100/1</t>
  </si>
  <si>
    <t>Sam Burns</t>
  </si>
  <si>
    <t>Corey Conners</t>
  </si>
  <si>
    <t>Harris English</t>
  </si>
  <si>
    <t>Cam Smith</t>
  </si>
  <si>
    <t>Gary Woodland</t>
  </si>
  <si>
    <t>Maverick McNealy</t>
  </si>
  <si>
    <t>Daniel Berger</t>
  </si>
  <si>
    <t>The Field</t>
  </si>
  <si>
    <t>Total Pot</t>
  </si>
  <si>
    <t xml:space="preserve">The Field </t>
  </si>
  <si>
    <t>Error?</t>
  </si>
  <si>
    <t>Kurt Kitayama</t>
  </si>
  <si>
    <t>125/1</t>
  </si>
  <si>
    <t>Brian Harman</t>
  </si>
  <si>
    <t>Ben Griffin</t>
  </si>
  <si>
    <t>150/1</t>
  </si>
  <si>
    <t>Rasmus Hojgaard</t>
  </si>
  <si>
    <t>Aaron Rai</t>
  </si>
  <si>
    <t>Max Homa</t>
  </si>
  <si>
    <t>Ryan Fox</t>
  </si>
  <si>
    <t>175/1</t>
  </si>
  <si>
    <t>Alex Noren</t>
  </si>
  <si>
    <t>Harry Hall</t>
  </si>
  <si>
    <t>Ryan Gerrard</t>
  </si>
  <si>
    <t>Casey Jarvis</t>
  </si>
  <si>
    <t>225/1</t>
  </si>
  <si>
    <t>Keegan Bradley</t>
  </si>
  <si>
    <t>Dustin Johnson</t>
  </si>
  <si>
    <t>Michael Kim</t>
  </si>
  <si>
    <t>Wyndham Clark</t>
  </si>
  <si>
    <t>Sam Stevens</t>
  </si>
  <si>
    <t>250/1</t>
  </si>
  <si>
    <t>Max Greyserman</t>
  </si>
  <si>
    <t>Sami Valimaki</t>
  </si>
  <si>
    <t>Nick Taylor</t>
  </si>
  <si>
    <t>Sergio Garcia</t>
  </si>
  <si>
    <t>Nicolas Echavarria</t>
  </si>
  <si>
    <t>Aldrich Potgeiter</t>
  </si>
  <si>
    <t>Tom McKibbin</t>
  </si>
  <si>
    <t>Haotong Li</t>
  </si>
  <si>
    <t>350/1</t>
  </si>
  <si>
    <t>Carlos Ortiz</t>
  </si>
  <si>
    <t>Matt McCarty</t>
  </si>
  <si>
    <t>Andrew Novak</t>
  </si>
  <si>
    <t>Rasmus Neergaard-Petersen</t>
  </si>
  <si>
    <t>Michael Brennan</t>
  </si>
  <si>
    <t>500/1</t>
  </si>
  <si>
    <t>Davis Riley</t>
  </si>
  <si>
    <t>Bubba Watson</t>
  </si>
  <si>
    <t>Kristoffer Reitan</t>
  </si>
  <si>
    <t>John Keefer</t>
  </si>
  <si>
    <t>Zach Johnson</t>
  </si>
  <si>
    <t>Charl Schwartzel</t>
  </si>
  <si>
    <t>750/1</t>
  </si>
  <si>
    <t>Angel Cabrera</t>
  </si>
  <si>
    <t>1000/1</t>
  </si>
  <si>
    <t>Ethan Fang</t>
  </si>
  <si>
    <t>Fifa Laopakdee</t>
  </si>
  <si>
    <t>Vijay Singh</t>
  </si>
  <si>
    <t>Jose Maria Olazabal</t>
  </si>
  <si>
    <t>Brian Campbell</t>
  </si>
  <si>
    <t>Brandon Holtz</t>
  </si>
  <si>
    <t>Danny Willet</t>
  </si>
  <si>
    <t>Fred Couples</t>
  </si>
  <si>
    <t>Naoyuki Kataoka</t>
  </si>
  <si>
    <t>Jackson Herrington</t>
  </si>
  <si>
    <t>Mike Weir</t>
  </si>
  <si>
    <t>Mateo Pulcini</t>
  </si>
  <si>
    <t>2025 Masters</t>
  </si>
  <si>
    <t>April 10-13, 2025</t>
  </si>
  <si>
    <t xml:space="preserve">1. The top 43 golfers will each be auctioned off individually followed by an auction of the field, making a total of 44 auctions. The participant who makes the highest bid will win the auction and own the player. </t>
  </si>
  <si>
    <t>Scottie Scheffler</t>
  </si>
  <si>
    <t>13/2</t>
  </si>
  <si>
    <t>14/1</t>
  </si>
  <si>
    <t>Yes</t>
  </si>
  <si>
    <t>Joaquin Niemann</t>
  </si>
  <si>
    <t>28/1</t>
  </si>
  <si>
    <t>T5</t>
  </si>
  <si>
    <t>Sungjae Im</t>
  </si>
  <si>
    <t>Tyrrell Hatton</t>
  </si>
  <si>
    <t>40/1</t>
  </si>
  <si>
    <t>Robert McIntyre</t>
  </si>
  <si>
    <t>Will Zalatoris</t>
  </si>
  <si>
    <t>Cameron Smith</t>
  </si>
  <si>
    <t>Tony Finau</t>
  </si>
  <si>
    <t>75/1</t>
  </si>
  <si>
    <t>110/1</t>
  </si>
  <si>
    <t>Tom Kim</t>
  </si>
  <si>
    <t>Sahith Theegala</t>
  </si>
  <si>
    <t>120/1</t>
  </si>
  <si>
    <t>Phil Mickelson</t>
  </si>
  <si>
    <t>-</t>
  </si>
  <si>
    <t>Davis Thompson</t>
  </si>
  <si>
    <t>Billy Horschel</t>
  </si>
  <si>
    <t>Taylor Pendrith</t>
  </si>
  <si>
    <t>Byeong Hun An</t>
  </si>
  <si>
    <t>Denny McCarthy</t>
  </si>
  <si>
    <t>Lucas Glover</t>
  </si>
  <si>
    <t>170/1</t>
  </si>
  <si>
    <t>Thomas Detry</t>
  </si>
  <si>
    <t>JT Poston</t>
  </si>
  <si>
    <t>200/1</t>
  </si>
  <si>
    <t>Laurie Canter</t>
  </si>
  <si>
    <t>220/1</t>
  </si>
  <si>
    <t>Stephan Jaeger</t>
  </si>
  <si>
    <t>270/1</t>
  </si>
  <si>
    <t>Christiaan Bezuidenhout</t>
  </si>
  <si>
    <t>300/1</t>
  </si>
  <si>
    <t>Joe Highsmith</t>
  </si>
  <si>
    <t>Cameron Davis</t>
  </si>
  <si>
    <t>Kevin Yu</t>
  </si>
  <si>
    <t>Tom Hoge</t>
  </si>
  <si>
    <t>Austin Eckroat</t>
  </si>
  <si>
    <t>Chris Kirk</t>
  </si>
  <si>
    <t>400/1</t>
  </si>
  <si>
    <t>Nick Dunlap</t>
  </si>
  <si>
    <t>David Riley</t>
  </si>
  <si>
    <t>Matt Mccarty</t>
  </si>
  <si>
    <t>Jhonnattan Vegas</t>
  </si>
  <si>
    <t>Matthieu Pavon</t>
  </si>
  <si>
    <t>Adam Schenk</t>
  </si>
  <si>
    <t>Thriston Lawrence</t>
  </si>
  <si>
    <t>Evan Beck</t>
  </si>
  <si>
    <t>Rafael Campos</t>
  </si>
  <si>
    <t>Hiroshi Tai</t>
  </si>
  <si>
    <t>Justin Hastings</t>
  </si>
  <si>
    <t>Benhard Langer</t>
  </si>
  <si>
    <t>Noah Kent</t>
  </si>
  <si>
    <t>Patton Kizzire</t>
  </si>
  <si>
    <t>Jose Luis Ballester</t>
  </si>
  <si>
    <t>2024 Masters</t>
  </si>
  <si>
    <t>April 11-14, 2024</t>
  </si>
  <si>
    <t xml:space="preserve">1. The top 41 golfers will each be auctioned off individually followed by an auction of the field, making a total of 42 auctions. The participant who makes the highest bid will win the auction and own the player. </t>
  </si>
  <si>
    <t>Michael Butta</t>
  </si>
  <si>
    <t>Ludvig Åberg</t>
  </si>
  <si>
    <t>T3</t>
  </si>
  <si>
    <t xml:space="preserve">Max Homa </t>
  </si>
  <si>
    <t>Matthew Fitzpatrick</t>
  </si>
  <si>
    <t>Cam Young</t>
  </si>
  <si>
    <t>90/1</t>
  </si>
  <si>
    <t>Tiger Woods</t>
  </si>
  <si>
    <t>Rickie Fowler</t>
  </si>
  <si>
    <t>Adrian Meronk</t>
  </si>
  <si>
    <t>Erik Van Rooyen</t>
  </si>
  <si>
    <t>Thorbjorn Olesen</t>
  </si>
  <si>
    <t>Adam Hadwin</t>
  </si>
  <si>
    <t>Eric Cole</t>
  </si>
  <si>
    <t>Taylor Moore</t>
  </si>
  <si>
    <t>Emiliano Grillo</t>
  </si>
  <si>
    <t>Cam Davis</t>
  </si>
  <si>
    <t>Luke List</t>
  </si>
  <si>
    <t>Ryo Hisatsune</t>
  </si>
  <si>
    <t>Lee Hodges</t>
  </si>
  <si>
    <t>Peter Malnati</t>
  </si>
  <si>
    <t>600/1</t>
  </si>
  <si>
    <t>Grayson Murray</t>
  </si>
  <si>
    <t>Danny Willett</t>
  </si>
  <si>
    <t>Jasper Stubbs</t>
  </si>
  <si>
    <t>Camilo Villegas</t>
  </si>
  <si>
    <t>Santiago De La Fuente</t>
  </si>
  <si>
    <t>Stewart Hagestad</t>
  </si>
  <si>
    <t>Neal Shipley</t>
  </si>
  <si>
    <t>2023 Masters</t>
  </si>
  <si>
    <t>April 6-9 (uh!), 2023</t>
  </si>
  <si>
    <t>18/1</t>
  </si>
  <si>
    <t>25/1</t>
  </si>
  <si>
    <t>Brandon Call</t>
  </si>
  <si>
    <t>T2</t>
  </si>
  <si>
    <t>T4</t>
  </si>
  <si>
    <t>Sung Jae Im</t>
  </si>
  <si>
    <t>66/1</t>
  </si>
  <si>
    <t>Louis Oosthuizen</t>
  </si>
  <si>
    <t>Mito Pereira</t>
  </si>
  <si>
    <t>Keith Mitchell</t>
  </si>
  <si>
    <t>Abraham Ancer</t>
  </si>
  <si>
    <t>Seamus Power</t>
  </si>
  <si>
    <t>140/1</t>
  </si>
  <si>
    <t>Thomas Pieters</t>
  </si>
  <si>
    <t>Talor Gooch</t>
  </si>
  <si>
    <t>Jason Kokrak</t>
  </si>
  <si>
    <t>Harold Varner 3</t>
  </si>
  <si>
    <t>Francesco Molinari</t>
  </si>
  <si>
    <t>Cameron Champ</t>
  </si>
  <si>
    <t>Kevin Na</t>
  </si>
  <si>
    <t>Mackenzie Hughes</t>
  </si>
  <si>
    <t>Adam Svensson</t>
  </si>
  <si>
    <t>Kyoung Hoon Lee</t>
  </si>
  <si>
    <t>Kevin Kisner</t>
  </si>
  <si>
    <t>Scott Stallings</t>
  </si>
  <si>
    <t>Gordon Sargent</t>
  </si>
  <si>
    <t>Kazuki Higa</t>
  </si>
  <si>
    <t>Bernhard Langer</t>
  </si>
  <si>
    <t>Sam Bennett</t>
  </si>
  <si>
    <t>Harrison Crowe</t>
  </si>
  <si>
    <t>1500/1</t>
  </si>
  <si>
    <t>Aldrich Potgieter</t>
  </si>
  <si>
    <t>Matthew McClean</t>
  </si>
  <si>
    <t>Ben Carr</t>
  </si>
  <si>
    <t>Mateo Oliveira</t>
  </si>
  <si>
    <t>Larry Mize</t>
  </si>
  <si>
    <t>Sandy Lyle</t>
  </si>
  <si>
    <t xml:space="preserve">Notes: </t>
  </si>
  <si>
    <t>Odds per vegasinsider.com; Last updated 4.4.23</t>
  </si>
  <si>
    <t>2022 Masters</t>
  </si>
  <si>
    <t>April 7-10, 2022</t>
  </si>
  <si>
    <t>13/1</t>
  </si>
  <si>
    <t>15/1</t>
  </si>
  <si>
    <t>19/1</t>
  </si>
  <si>
    <t>24/1</t>
  </si>
  <si>
    <t>41/1</t>
  </si>
  <si>
    <t>44/1</t>
  </si>
  <si>
    <t>No</t>
  </si>
  <si>
    <t>48/1</t>
  </si>
  <si>
    <t>Paul Casey</t>
  </si>
  <si>
    <t>Marc Leishman</t>
  </si>
  <si>
    <t>85/1</t>
  </si>
  <si>
    <t>Webb Simpson</t>
  </si>
  <si>
    <t>130/1</t>
  </si>
  <si>
    <t>Harold Varner III</t>
  </si>
  <si>
    <t>160/1</t>
  </si>
  <si>
    <t>Lee Westwood</t>
  </si>
  <si>
    <t>210/1</t>
  </si>
  <si>
    <t>Erik Van Rooyan</t>
  </si>
  <si>
    <t>230/1</t>
  </si>
  <si>
    <t>Cam Champ</t>
  </si>
  <si>
    <t>280/1</t>
  </si>
  <si>
    <t>Lucas Herbert</t>
  </si>
  <si>
    <t>290/1</t>
  </si>
  <si>
    <t>Matthew Wolff</t>
  </si>
  <si>
    <t>310/1</t>
  </si>
  <si>
    <t>Takumi Kanaya</t>
  </si>
  <si>
    <t>Ryan Palmer</t>
  </si>
  <si>
    <t>370/1</t>
  </si>
  <si>
    <t>Padraig Harrington</t>
  </si>
  <si>
    <t>KH Lee</t>
  </si>
  <si>
    <t>390/1</t>
  </si>
  <si>
    <t>Stewart Cink</t>
  </si>
  <si>
    <t>430/1</t>
  </si>
  <si>
    <t>Garrick Higgo</t>
  </si>
  <si>
    <t>550/1</t>
  </si>
  <si>
    <t>Hudson Swafford</t>
  </si>
  <si>
    <t>Guido Migliozzi</t>
  </si>
  <si>
    <t>Harry Higgs</t>
  </si>
  <si>
    <t>Odds per vegasinsider.com; Last updated 4.5.22</t>
  </si>
  <si>
    <t>2021 Masters</t>
  </si>
  <si>
    <t>April 8-11, 2021</t>
  </si>
  <si>
    <t>Bryson Dechambeau</t>
  </si>
  <si>
    <t>29/1</t>
  </si>
  <si>
    <t>Taylor Smyth/Ryan Lee</t>
  </si>
  <si>
    <t>32/1</t>
  </si>
  <si>
    <t>Jordan Speith</t>
  </si>
  <si>
    <t>36/1</t>
  </si>
  <si>
    <t>39/1</t>
  </si>
  <si>
    <t>43/1</t>
  </si>
  <si>
    <t>46/1</t>
  </si>
  <si>
    <t>47/1</t>
  </si>
  <si>
    <t>49/1</t>
  </si>
  <si>
    <t>95/1</t>
  </si>
  <si>
    <t>Matt Wallace</t>
  </si>
  <si>
    <t>Victor Perez</t>
  </si>
  <si>
    <t>Matt Kuchar</t>
  </si>
  <si>
    <t>Ian Poulter</t>
  </si>
  <si>
    <t>Carloz Ortiz</t>
  </si>
  <si>
    <t>180/1</t>
  </si>
  <si>
    <t>Dylan Fritelli</t>
  </si>
  <si>
    <t>Matt Jones</t>
  </si>
  <si>
    <t>190/1</t>
  </si>
  <si>
    <t>Sebastian Munoz</t>
  </si>
  <si>
    <t>240/1</t>
  </si>
  <si>
    <t>Lanto Griffin</t>
  </si>
  <si>
    <t>Brendon Todd</t>
  </si>
  <si>
    <t>CT Pan</t>
  </si>
  <si>
    <t>Bernd Wiesberger</t>
  </si>
  <si>
    <t>Henrik Stenson</t>
  </si>
  <si>
    <t>Martin Laird</t>
  </si>
  <si>
    <t>Michael Thompson</t>
  </si>
  <si>
    <t>Brian Gay</t>
  </si>
  <si>
    <t>Jimmy Walker</t>
  </si>
  <si>
    <t>900/1</t>
  </si>
  <si>
    <t>Jim Herman</t>
  </si>
  <si>
    <t>Robert Streb</t>
  </si>
  <si>
    <t>Tyler Strafaci</t>
  </si>
  <si>
    <t>Charles Osborne</t>
  </si>
  <si>
    <t>Ian Woosnam</t>
  </si>
  <si>
    <t>Joe Long</t>
  </si>
  <si>
    <t>Odds per vegasinsider.com; Last updated 4.5.21</t>
  </si>
  <si>
    <t>2019 Masters</t>
  </si>
  <si>
    <t>April 11-14, 2019</t>
  </si>
  <si>
    <t>Erik Buzzi</t>
  </si>
  <si>
    <t>Adam M. Yeager</t>
  </si>
  <si>
    <t>n/a</t>
  </si>
  <si>
    <t>Steve Childres</t>
  </si>
  <si>
    <t>Alexander J. Carroll</t>
  </si>
  <si>
    <t>Anthony W. Meek</t>
  </si>
  <si>
    <t>Bobby X. Reagan</t>
  </si>
  <si>
    <t>17/1</t>
  </si>
  <si>
    <t>Brian E. Black</t>
  </si>
  <si>
    <t xml:space="preserve">Brian J. Gibbons </t>
  </si>
  <si>
    <t>Brian W. Nickel</t>
  </si>
  <si>
    <t>Mike Myers</t>
  </si>
  <si>
    <t xml:space="preserve">Chase W. Cusack </t>
  </si>
  <si>
    <t>Erik X. Buzzi</t>
  </si>
  <si>
    <t>J Paul A. Fischer</t>
  </si>
  <si>
    <t>James R. Tangires</t>
  </si>
  <si>
    <t>Bobby Reagan</t>
  </si>
  <si>
    <t>Joseph D. Mangione</t>
  </si>
  <si>
    <t>Michael P. Myers</t>
  </si>
  <si>
    <t>Pat Fitzgerald</t>
  </si>
  <si>
    <t>Nicholas S. Mangione</t>
  </si>
  <si>
    <t>Patrick E. Dugan</t>
  </si>
  <si>
    <t>Patrick T. Fitzgerald</t>
  </si>
  <si>
    <t>Peter Z. Berger</t>
  </si>
  <si>
    <t>Ryan S. Lee</t>
  </si>
  <si>
    <t>Shane T. Griffith</t>
  </si>
  <si>
    <t>Stephen N. Licata</t>
  </si>
  <si>
    <t>Steven L. Childres</t>
  </si>
  <si>
    <t>Brian Nickel</t>
  </si>
  <si>
    <t>Taylor R. Smyth</t>
  </si>
  <si>
    <t>Charles Howell III</t>
  </si>
  <si>
    <t>Brandt Snedeker</t>
  </si>
  <si>
    <t>Charley Hoffman</t>
  </si>
  <si>
    <t>Chase W. Cusack</t>
  </si>
  <si>
    <t>Branden Grace</t>
  </si>
  <si>
    <t>Hao Tong Li</t>
  </si>
  <si>
    <t>Rafa Cabrera Bello</t>
  </si>
  <si>
    <t>Eddie Pepperell</t>
  </si>
  <si>
    <t>J.B. Holmes</t>
  </si>
  <si>
    <t>Lucas Bjerregaard</t>
  </si>
  <si>
    <t>Aaron Wise</t>
  </si>
  <si>
    <t>Kiradech Aphibarnrat</t>
  </si>
  <si>
    <t>Kyle Stanley</t>
  </si>
  <si>
    <t>275/1</t>
  </si>
  <si>
    <t>Martin Kaymer</t>
  </si>
  <si>
    <t>Justin Harding</t>
  </si>
  <si>
    <t>Kevin Tway</t>
  </si>
  <si>
    <t>Andrew Landry</t>
  </si>
  <si>
    <t>Satoshi Kodaira</t>
  </si>
  <si>
    <t>Shugo Imahira</t>
  </si>
  <si>
    <t>Adam Long</t>
  </si>
  <si>
    <t>Alvaro Ortiz</t>
  </si>
  <si>
    <t>Devon Bling</t>
  </si>
  <si>
    <t>Jovan Rebula</t>
  </si>
  <si>
    <t>Kevin O'Connell</t>
  </si>
  <si>
    <t>Trevor Immelman</t>
  </si>
  <si>
    <t>1200/1</t>
  </si>
  <si>
    <t>Odds per vegasinsider.com; Last updated 4.8.19 - 8:45 a.m. ET</t>
  </si>
  <si>
    <t>2018 US Open</t>
  </si>
  <si>
    <t>Shinnecock Hills Golf Course</t>
  </si>
  <si>
    <t>June 14-17, 2018</t>
  </si>
  <si>
    <t>"A Tradition"</t>
  </si>
  <si>
    <t xml:space="preserve">1. The top 50 golfers will each be auctioned off individually followed by an auction of the field, making a total of 51 auctions. The participant who makes the highest bid will win the auction and own the player. </t>
  </si>
  <si>
    <t xml:space="preserve">     c. All deals must be reported to Brian G. in order to keep track of payouts</t>
  </si>
  <si>
    <t>Shane Griffith</t>
  </si>
  <si>
    <t>Jimmy Tangires</t>
  </si>
  <si>
    <t>yes</t>
  </si>
  <si>
    <t>Pat Fitz</t>
  </si>
  <si>
    <t>Michael W. Toomer</t>
  </si>
  <si>
    <t>Fischer</t>
  </si>
  <si>
    <t>1/3 Field</t>
  </si>
  <si>
    <t>1/2 Tiger Woods</t>
  </si>
  <si>
    <t xml:space="preserve">Brian Nickel </t>
  </si>
  <si>
    <t>Peter Uihlein</t>
  </si>
  <si>
    <t>Louis Oosthiuzen</t>
  </si>
  <si>
    <t>Xander Shauffele</t>
  </si>
  <si>
    <t>Byeong-Hun An</t>
  </si>
  <si>
    <t>Steven Childres</t>
  </si>
  <si>
    <t>Byeoung-Hun An</t>
  </si>
  <si>
    <t>Rafael Cabrera Bello</t>
  </si>
  <si>
    <t>Graeme McDowell</t>
  </si>
  <si>
    <t>Jason Dufner</t>
  </si>
  <si>
    <t>Ross Fisher</t>
  </si>
  <si>
    <t>Patrick Rodgers</t>
  </si>
  <si>
    <t>Andrew Johnston</t>
  </si>
  <si>
    <t>Brendan Steele</t>
  </si>
  <si>
    <t>Chesson Hadley</t>
  </si>
  <si>
    <t>Chez Reavie</t>
  </si>
  <si>
    <t>Trey Mullinax</t>
  </si>
  <si>
    <t>Alexander Levy</t>
  </si>
  <si>
    <t>Braden Thornberry</t>
  </si>
  <si>
    <t>Daniel Im</t>
  </si>
  <si>
    <t>Kevin Chappell</t>
  </si>
  <si>
    <t>Ryan Moore</t>
  </si>
  <si>
    <t>Michael Hebert</t>
  </si>
  <si>
    <t>Richy Werenski</t>
  </si>
  <si>
    <t>Dylan Frittelli</t>
  </si>
  <si>
    <t>450/1</t>
  </si>
  <si>
    <t>Ollie Schniederjans</t>
  </si>
  <si>
    <t>Steve Stricker</t>
  </si>
  <si>
    <t>Aaron Baddeley</t>
  </si>
  <si>
    <t>Brian Stuard</t>
  </si>
  <si>
    <t>Jason Scrivener</t>
  </si>
  <si>
    <t>Pat Perez</t>
  </si>
  <si>
    <t>Tyler Duncan</t>
  </si>
  <si>
    <t>Bill Haas</t>
  </si>
  <si>
    <t>Matthew Southgate</t>
  </si>
  <si>
    <t>Paul Waring</t>
  </si>
  <si>
    <t>Russell Knox</t>
  </si>
  <si>
    <t>650/1</t>
  </si>
  <si>
    <t>Scott Piercy</t>
  </si>
  <si>
    <t>Shubhankar Sharma</t>
  </si>
  <si>
    <t>James Morrison</t>
  </si>
  <si>
    <t>700/1</t>
  </si>
  <si>
    <t>Rikuya Hoshino</t>
  </si>
  <si>
    <t>Chris Naegel</t>
  </si>
  <si>
    <t>800/1</t>
  </si>
  <si>
    <t>Christopher Babcock</t>
  </si>
  <si>
    <t>Cole Miller</t>
  </si>
  <si>
    <t>David Brandson</t>
  </si>
  <si>
    <t>David Gazzolo</t>
  </si>
  <si>
    <t>Dean Burmester</t>
  </si>
  <si>
    <t>Doug Ghim</t>
  </si>
  <si>
    <t>Dylan Meyer</t>
  </si>
  <si>
    <t>Eric Axley</t>
  </si>
  <si>
    <t>Ernie Els</t>
  </si>
  <si>
    <t>Franklin Huang</t>
  </si>
  <si>
    <t>Harry Ellis</t>
  </si>
  <si>
    <t>Jacob Bergeron</t>
  </si>
  <si>
    <t>Jhonattan Vegas</t>
  </si>
  <si>
    <t>Jim Furyk</t>
  </si>
  <si>
    <t>Kenny Perry</t>
  </si>
  <si>
    <t>Luis Gagne</t>
  </si>
  <si>
    <t>Matt Parziale</t>
  </si>
  <si>
    <t>Michael Block</t>
  </si>
  <si>
    <t>Mickey DeMorat</t>
  </si>
  <si>
    <t>Mike Miller</t>
  </si>
  <si>
    <t>Noah Goodwin</t>
  </si>
  <si>
    <t>Philip Barbaree</t>
  </si>
  <si>
    <t>Richie Ramsay</t>
  </si>
  <si>
    <t>Roberto Castro</t>
  </si>
  <si>
    <t>Ryan Lumsden</t>
  </si>
  <si>
    <t>Scott Gregory</t>
  </si>
  <si>
    <t>Shintaro Ban</t>
  </si>
  <si>
    <t>Shota Akiyoshi</t>
  </si>
  <si>
    <t>Sung Joon Park</t>
  </si>
  <si>
    <t>Ted Potter Jr</t>
  </si>
  <si>
    <t>Theo Humphrey</t>
  </si>
  <si>
    <t>Tom Lewis</t>
  </si>
  <si>
    <t>Wenchong Liang</t>
  </si>
  <si>
    <t>Will Grimmer</t>
  </si>
  <si>
    <t>Mac Hughes</t>
  </si>
  <si>
    <t>Calum Hill</t>
  </si>
  <si>
    <t>Ryan Evans</t>
  </si>
  <si>
    <t>Michael Putnam</t>
  </si>
  <si>
    <t>Tim Wilkinson</t>
  </si>
  <si>
    <t>Cameron Wilson</t>
  </si>
  <si>
    <t>Sebastian Vazquez</t>
  </si>
  <si>
    <t>Chun-An Yu</t>
  </si>
  <si>
    <t>Garrett Rank</t>
  </si>
  <si>
    <t>Rhett Rasmussen</t>
  </si>
  <si>
    <t>Sulman Raza</t>
  </si>
  <si>
    <t>Timothy Wiseman</t>
  </si>
  <si>
    <t>2018 Masters</t>
  </si>
  <si>
    <t>April 5-8, 2018</t>
  </si>
  <si>
    <t>23/2</t>
  </si>
  <si>
    <t>no</t>
  </si>
  <si>
    <t>Henrick Stenson</t>
  </si>
  <si>
    <t>Mike Toomer</t>
  </si>
  <si>
    <t>Adam Hadwin 150/1</t>
  </si>
  <si>
    <t>Jimmy Walker 150/1</t>
  </si>
  <si>
    <t>Brendan Steele 150/1</t>
  </si>
  <si>
    <t>Russell Henley 150/1</t>
  </si>
  <si>
    <t>Shubhankar Sharma 150/1</t>
  </si>
  <si>
    <t>Webb Simpson 150/1</t>
  </si>
  <si>
    <t>Chez Reavie 150/1</t>
  </si>
  <si>
    <t>Dylan Frittelli 150/1</t>
  </si>
  <si>
    <t>Francesco Molinari 175/1</t>
  </si>
  <si>
    <t>Haotong Li 175/1</t>
  </si>
  <si>
    <t>Jason Dufner 175/1</t>
  </si>
  <si>
    <t>Martin Kaymer 175/1</t>
  </si>
  <si>
    <t>Patton Kizzire 175/1</t>
  </si>
  <si>
    <t>Bernd Wiesberger 200/1</t>
  </si>
  <si>
    <t>Kyle Stanley 200/1</t>
  </si>
  <si>
    <t>Ross Fisher 200/1</t>
  </si>
  <si>
    <t>Austin Cook 250/1</t>
  </si>
  <si>
    <t>Billy Horschel 250/1</t>
  </si>
  <si>
    <t>Si Woo Kim 250/1</t>
  </si>
  <si>
    <t>Satoshi Kodaira 250/1</t>
  </si>
  <si>
    <t>Danny Willett 275/1</t>
  </si>
  <si>
    <t>Angel Cabrera 300/1</t>
  </si>
  <si>
    <t>Fred Couples 300/1</t>
  </si>
  <si>
    <t>Jhonattan Vegas 300/1</t>
  </si>
  <si>
    <t>Wesley Bryan 300/1</t>
  </si>
  <si>
    <t>Ted Potter Jr 400/1</t>
  </si>
  <si>
    <t>Joaquin Niemann 500/1</t>
  </si>
  <si>
    <t>Vijay Singh 500/1</t>
  </si>
  <si>
    <t>Yusaku Miyazato 500/1</t>
  </si>
  <si>
    <t>Yuta Ikeda 500/1</t>
  </si>
  <si>
    <t>Jose Maria Olazabal 500/1</t>
  </si>
  <si>
    <t>Larry Mize 500/1</t>
  </si>
  <si>
    <t>Trevor Immelman 500/1</t>
  </si>
  <si>
    <t>Yuxin Lin 500/1</t>
  </si>
  <si>
    <t>Bernhard Langer 750/1</t>
  </si>
  <si>
    <t>Doug Ghim 750/1</t>
  </si>
  <si>
    <t>Ian Woosnam 750/1</t>
  </si>
  <si>
    <t>Mark OMeara 750/1</t>
  </si>
  <si>
    <t>Matt Parziale 750/1</t>
  </si>
  <si>
    <t>Sandy Lyle 750/1</t>
  </si>
  <si>
    <t>Doc Redman 1000/1</t>
  </si>
  <si>
    <t>Harry Ellis 1000/1</t>
  </si>
  <si>
    <t xml:space="preserve">Removed: </t>
  </si>
  <si>
    <t>Lee Westwood 150/1</t>
  </si>
  <si>
    <t>JB Holmes 175/1</t>
  </si>
  <si>
    <t>Masters</t>
  </si>
  <si>
    <t>U.S. Open</t>
  </si>
  <si>
    <t>Open Championship</t>
  </si>
  <si>
    <t>PGA Championship</t>
  </si>
  <si>
    <t>2017 Total</t>
  </si>
  <si>
    <t>Name</t>
  </si>
  <si>
    <t>Amt Paid</t>
  </si>
  <si>
    <t>Amt Won</t>
  </si>
  <si>
    <t>Profit/Loss</t>
  </si>
  <si>
    <t>Adam Yeager</t>
  </si>
  <si>
    <t>Joseph Mangione</t>
  </si>
  <si>
    <t>Nicholas Mangione</t>
  </si>
  <si>
    <t>James Tangires</t>
  </si>
  <si>
    <t>Alexander Carroll</t>
  </si>
  <si>
    <t>Brian Gibbons*</t>
  </si>
  <si>
    <t>Patrick Fitzgerald</t>
  </si>
  <si>
    <t>Stephen Licata</t>
  </si>
  <si>
    <t>Notes:</t>
  </si>
  <si>
    <t>*Bought Sergio from Joe after 3rd round of Masters for $72</t>
  </si>
  <si>
    <t>2017 PGA Championship</t>
  </si>
  <si>
    <t>Quail Hollow Club</t>
  </si>
  <si>
    <t>August 10-13, 2017</t>
  </si>
  <si>
    <t xml:space="preserve">1. The top 36 golfers will each be auctioned off individually followed by an auction of the field, making a total of 51 auctions. The participant who makes the highest bid will win the auction and own the player. </t>
  </si>
  <si>
    <t>Joe / Nick Mangione</t>
  </si>
  <si>
    <t xml:space="preserve">Jimmy Tangires </t>
  </si>
  <si>
    <t xml:space="preserve">Francesco Molinari </t>
  </si>
  <si>
    <t xml:space="preserve">Brian Black/Michael Myers </t>
  </si>
  <si>
    <t>each</t>
  </si>
  <si>
    <t xml:space="preserve">Myers </t>
  </si>
  <si>
    <t>Black</t>
  </si>
  <si>
    <t>N. Mangione</t>
  </si>
  <si>
    <t>Licata</t>
  </si>
  <si>
    <t>Reagan</t>
  </si>
  <si>
    <t>Brian J. Gibbons</t>
  </si>
  <si>
    <t xml:space="preserve">Steve Licata </t>
  </si>
  <si>
    <t>1/2 Kevin Kisner</t>
  </si>
  <si>
    <t>1/2 Jordan Spieth</t>
  </si>
  <si>
    <t>1/2 Field</t>
  </si>
  <si>
    <t>Micahel Myers</t>
  </si>
  <si>
    <t>Brian Black / Mike Myers</t>
  </si>
  <si>
    <t xml:space="preserve">Xander Schauffele </t>
  </si>
  <si>
    <t xml:space="preserve">Ian Poulter </t>
  </si>
  <si>
    <t xml:space="preserve">Jimmy Walker </t>
  </si>
  <si>
    <t xml:space="preserve">Webb Simpson </t>
  </si>
  <si>
    <t xml:space="preserve">Adam Hadwin </t>
  </si>
  <si>
    <t xml:space="preserve">Bill Haas </t>
  </si>
  <si>
    <t xml:space="preserve">Kyle Stanley </t>
  </si>
  <si>
    <t xml:space="preserve">Brendan Steele </t>
  </si>
  <si>
    <t xml:space="preserve">Jamie Lovemark </t>
  </si>
  <si>
    <t xml:space="preserve">Brian Harman </t>
  </si>
  <si>
    <t xml:space="preserve">Shane Lowry </t>
  </si>
  <si>
    <t xml:space="preserve">Bernd Wiesberger </t>
  </si>
  <si>
    <t xml:space="preserve">James Hahn </t>
  </si>
  <si>
    <t xml:space="preserve">Jhonattan Vegas </t>
  </si>
  <si>
    <t xml:space="preserve">Keegan Bradley </t>
  </si>
  <si>
    <t xml:space="preserve">Thorbjorn Olesen </t>
  </si>
  <si>
    <t xml:space="preserve">Ross Fisher </t>
  </si>
  <si>
    <t xml:space="preserve">Steve Stricker </t>
  </si>
  <si>
    <t xml:space="preserve">Russell Knox </t>
  </si>
  <si>
    <t xml:space="preserve">Danny Lee </t>
  </si>
  <si>
    <t xml:space="preserve">Bud Cauley </t>
  </si>
  <si>
    <t xml:space="preserve">David Lingmerth </t>
  </si>
  <si>
    <t xml:space="preserve">Emiliano Grillo </t>
  </si>
  <si>
    <t xml:space="preserve">Peter Uihlein </t>
  </si>
  <si>
    <t xml:space="preserve">Charles Howell </t>
  </si>
  <si>
    <t xml:space="preserve">Patrick Rodgers </t>
  </si>
  <si>
    <t xml:space="preserve">Billy Horschel </t>
  </si>
  <si>
    <t xml:space="preserve">Haotong Li </t>
  </si>
  <si>
    <t xml:space="preserve">Ryan Moore </t>
  </si>
  <si>
    <t xml:space="preserve">Matthew Fitzpatrick </t>
  </si>
  <si>
    <t xml:space="preserve">Byeong Hun An </t>
  </si>
  <si>
    <t xml:space="preserve">Tyrrell Hatton </t>
  </si>
  <si>
    <t xml:space="preserve">Hudson Swafford </t>
  </si>
  <si>
    <t xml:space="preserve">Andy Sullivan </t>
  </si>
  <si>
    <t xml:space="preserve">Bryson DeChambeau </t>
  </si>
  <si>
    <t xml:space="preserve">Si Woo Kim </t>
  </si>
  <si>
    <t xml:space="preserve">Alexander Levy </t>
  </si>
  <si>
    <t xml:space="preserve">Chez Reavie </t>
  </si>
  <si>
    <t xml:space="preserve">Graham DeLaet </t>
  </si>
  <si>
    <t xml:space="preserve">Sean O'Hair </t>
  </si>
  <si>
    <t xml:space="preserve">Jordan Smith </t>
  </si>
  <si>
    <t xml:space="preserve">Jim Furyk </t>
  </si>
  <si>
    <t xml:space="preserve">Kevin Na </t>
  </si>
  <si>
    <t xml:space="preserve">Robert Streb </t>
  </si>
  <si>
    <t xml:space="preserve">Daniel Summerhays </t>
  </si>
  <si>
    <t xml:space="preserve">Padraig Harrington </t>
  </si>
  <si>
    <t xml:space="preserve">Scott Hend </t>
  </si>
  <si>
    <t xml:space="preserve">Andrew Johnston </t>
  </si>
  <si>
    <t xml:space="preserve">Soren Kjeldsen </t>
  </si>
  <si>
    <t xml:space="preserve">Pat Perez </t>
  </si>
  <si>
    <t xml:space="preserve">Chris Wood </t>
  </si>
  <si>
    <t xml:space="preserve">Martin Laird </t>
  </si>
  <si>
    <t xml:space="preserve">Graeme McDowell </t>
  </si>
  <si>
    <t xml:space="preserve">Luke List </t>
  </si>
  <si>
    <t xml:space="preserve">Anirban Lahiri </t>
  </si>
  <si>
    <t xml:space="preserve">Wesley Bryan </t>
  </si>
  <si>
    <t xml:space="preserve">Ryan Fox </t>
  </si>
  <si>
    <t xml:space="preserve">Nicolas Colsaerts </t>
  </si>
  <si>
    <t xml:space="preserve">Sung Kang </t>
  </si>
  <si>
    <t xml:space="preserve">Grayson Murray </t>
  </si>
  <si>
    <t xml:space="preserve">Chris Stroud </t>
  </si>
  <si>
    <t xml:space="preserve">William McGirt </t>
  </si>
  <si>
    <t xml:space="preserve">Joost Luiten </t>
  </si>
  <si>
    <t xml:space="preserve">Hideto Tanihara </t>
  </si>
  <si>
    <t xml:space="preserve">Luke Donald </t>
  </si>
  <si>
    <t xml:space="preserve">Jonas Blixt </t>
  </si>
  <si>
    <t xml:space="preserve">Mackenzie Hughes </t>
  </si>
  <si>
    <t xml:space="preserve">Richard Sterne </t>
  </si>
  <si>
    <t xml:space="preserve">Jason Kokrak </t>
  </si>
  <si>
    <t xml:space="preserve">Dylan Frittelli </t>
  </si>
  <si>
    <t xml:space="preserve">Thongchai Jaidee </t>
  </si>
  <si>
    <t xml:space="preserve">Chris Kirk </t>
  </si>
  <si>
    <t xml:space="preserve">Brandon Stone </t>
  </si>
  <si>
    <t xml:space="preserve">Danny Willett </t>
  </si>
  <si>
    <t xml:space="preserve">Fabrizio Zanotti </t>
  </si>
  <si>
    <t xml:space="preserve">Kelly Kraft </t>
  </si>
  <si>
    <t xml:space="preserve">Scott Brown </t>
  </si>
  <si>
    <t xml:space="preserve">Ernie Els </t>
  </si>
  <si>
    <t xml:space="preserve">Jim Herman </t>
  </si>
  <si>
    <t xml:space="preserve">Pablo Larrazabal </t>
  </si>
  <si>
    <t xml:space="preserve">Vijay Singh </t>
  </si>
  <si>
    <t xml:space="preserve">Kyung-Tae Kim </t>
  </si>
  <si>
    <t xml:space="preserve">D. A. Points </t>
  </si>
  <si>
    <t xml:space="preserve">Jeunghun Wang </t>
  </si>
  <si>
    <t xml:space="preserve">Davis Love III </t>
  </si>
  <si>
    <t xml:space="preserve">Younghan Song </t>
  </si>
  <si>
    <t xml:space="preserve">Cody Gribble </t>
  </si>
  <si>
    <t xml:space="preserve">Rod Pampling </t>
  </si>
  <si>
    <t xml:space="preserve">Thomas Bjorn </t>
  </si>
  <si>
    <t xml:space="preserve">Yong Eun Yang </t>
  </si>
  <si>
    <t xml:space="preserve">Satoshi Kodaira </t>
  </si>
  <si>
    <t xml:space="preserve">Yuta Ikeda </t>
  </si>
  <si>
    <t xml:space="preserve">John Daly </t>
  </si>
  <si>
    <t xml:space="preserve">Brian Smock </t>
  </si>
  <si>
    <t xml:space="preserve">Adam Rainaud </t>
  </si>
  <si>
    <t xml:space="preserve">Alex Beach </t>
  </si>
  <si>
    <t xml:space="preserve">Chris Moody </t>
  </si>
  <si>
    <t xml:space="preserve">Dave McNabb </t>
  </si>
  <si>
    <t xml:space="preserve">David Muttitt </t>
  </si>
  <si>
    <t xml:space="preserve">Greg Gregory </t>
  </si>
  <si>
    <t xml:space="preserve">Jamie Broce </t>
  </si>
  <si>
    <t xml:space="preserve">Jaysen Hansen </t>
  </si>
  <si>
    <t xml:space="preserve">Kenny Pigman </t>
  </si>
  <si>
    <t xml:space="preserve">Matt Dobyns </t>
  </si>
  <si>
    <t>Mike Small</t>
  </si>
  <si>
    <t xml:space="preserve">Omar Uresti </t>
  </si>
  <si>
    <t xml:space="preserve">Paul Claxton </t>
  </si>
  <si>
    <t xml:space="preserve">Rich Beem </t>
  </si>
  <si>
    <t xml:space="preserve">Rich Berberian Jr. </t>
  </si>
  <si>
    <t xml:space="preserve">Rod Perry </t>
  </si>
  <si>
    <t xml:space="preserve">Ryan Vermeer </t>
  </si>
  <si>
    <t xml:space="preserve">Scott Hebert </t>
  </si>
  <si>
    <t xml:space="preserve">Shaun Micheel </t>
  </si>
  <si>
    <t xml:space="preserve">Stuart Deane </t>
  </si>
  <si>
    <t>2017 Open Championship</t>
  </si>
  <si>
    <t>Royal Birkdale</t>
  </si>
  <si>
    <t>July 20-23, 2017</t>
  </si>
  <si>
    <t>"A European Tradition"</t>
  </si>
  <si>
    <t>Dustin Johnson 12/1</t>
  </si>
  <si>
    <t>Jordan Spieth 12/1</t>
  </si>
  <si>
    <t>J Mangione / N Mangione</t>
  </si>
  <si>
    <t>Jon Rahm 15/1</t>
  </si>
  <si>
    <t>Gibbons / Fitz</t>
  </si>
  <si>
    <t xml:space="preserve"> </t>
  </si>
  <si>
    <t>Rickie Fowler 15/1</t>
  </si>
  <si>
    <t>Licata / J Mangione</t>
  </si>
  <si>
    <t>Rory McIlroy 18/1</t>
  </si>
  <si>
    <t>Sergio Garcia 18/1</t>
  </si>
  <si>
    <t>Myers / Gibbons</t>
  </si>
  <si>
    <t>Hideki Matsuyama 20/1</t>
  </si>
  <si>
    <t>J Mangione</t>
  </si>
  <si>
    <t>Justin Rose 20/1</t>
  </si>
  <si>
    <t>Tommy Fleetwood 22/1</t>
  </si>
  <si>
    <t>Joe/ Nick Mangione</t>
  </si>
  <si>
    <t>Jason Day 25/1</t>
  </si>
  <si>
    <t>Myers</t>
  </si>
  <si>
    <t>Adam Scott 28/1</t>
  </si>
  <si>
    <t xml:space="preserve">Joe Mangione </t>
  </si>
  <si>
    <t>Henrik Stenson 30/1</t>
  </si>
  <si>
    <t>Gibbons</t>
  </si>
  <si>
    <t>Brooks Koepka 35/1</t>
  </si>
  <si>
    <t>Fitz</t>
  </si>
  <si>
    <t>Paul Casey 35/1</t>
  </si>
  <si>
    <t>Phil Mickelson 35/1</t>
  </si>
  <si>
    <t>Gibbons / Myers</t>
  </si>
  <si>
    <t>Joe</t>
  </si>
  <si>
    <t>paid</t>
  </si>
  <si>
    <t>Justin Thomas 45/1</t>
  </si>
  <si>
    <t>Nick</t>
  </si>
  <si>
    <t>Thomas Pieters 45/1</t>
  </si>
  <si>
    <t>Bobby</t>
  </si>
  <si>
    <t>Alex Noren 50/1</t>
  </si>
  <si>
    <t>Brian B.</t>
  </si>
  <si>
    <t>Branden Grace 50/1</t>
  </si>
  <si>
    <t>Louis Oosthuizen 50/1</t>
  </si>
  <si>
    <t>Marc Leishman 50/1</t>
  </si>
  <si>
    <t>Lee</t>
  </si>
  <si>
    <t>Matt Kuchar 60/1</t>
  </si>
  <si>
    <t>Patrick Reed 60/1</t>
  </si>
  <si>
    <t>Brandt Snedeker 65/1</t>
  </si>
  <si>
    <t>Wood</t>
  </si>
  <si>
    <t>Fitzpatrick</t>
  </si>
  <si>
    <t>Thomas</t>
  </si>
  <si>
    <t>Haas</t>
  </si>
  <si>
    <t>Uihlein</t>
  </si>
  <si>
    <t>DeChambeau</t>
  </si>
  <si>
    <t>Ian Poulter 65/1</t>
  </si>
  <si>
    <t>Kisner</t>
  </si>
  <si>
    <t>Koepka</t>
  </si>
  <si>
    <t>Fisher</t>
  </si>
  <si>
    <t>Leishman</t>
  </si>
  <si>
    <t>Wiesberger</t>
  </si>
  <si>
    <t>Lee Westwood 65/1</t>
  </si>
  <si>
    <t>Poulter</t>
  </si>
  <si>
    <t>1/2 Rahm</t>
  </si>
  <si>
    <t>Kaymer</t>
  </si>
  <si>
    <t>Mollinari</t>
  </si>
  <si>
    <t>Padraig Harrington 65/1</t>
  </si>
  <si>
    <t>Snedeker</t>
  </si>
  <si>
    <t>Reed</t>
  </si>
  <si>
    <t>Johnson</t>
  </si>
  <si>
    <t>Rafael Cabrera Bello 65/1</t>
  </si>
  <si>
    <t>Grace</t>
  </si>
  <si>
    <t>Noren</t>
  </si>
  <si>
    <t>Berger</t>
  </si>
  <si>
    <t>Shane Lowry 70/1</t>
  </si>
  <si>
    <t>Scott</t>
  </si>
  <si>
    <t>1/2 Mickelson</t>
  </si>
  <si>
    <t>Casey</t>
  </si>
  <si>
    <t>Daniel Berger 80/1</t>
  </si>
  <si>
    <t>McIlroy</t>
  </si>
  <si>
    <t>Stenson</t>
  </si>
  <si>
    <t>Rose</t>
  </si>
  <si>
    <t>Andy Sullivan 85/1</t>
  </si>
  <si>
    <t>1/2 Fowler</t>
  </si>
  <si>
    <t>Charl Schwartzel 85/1</t>
  </si>
  <si>
    <t>1/2 Garcia</t>
  </si>
  <si>
    <t>Kevin Kisner 85/1</t>
  </si>
  <si>
    <t>1/2 Fleetwood</t>
  </si>
  <si>
    <t>Martin Kaymer 85/1</t>
  </si>
  <si>
    <t>Matthew Fitzpatrick 85/1</t>
  </si>
  <si>
    <t>Tyrrell Hatton 85/1</t>
  </si>
  <si>
    <t>Holmes</t>
  </si>
  <si>
    <t>1/2 Spieth</t>
  </si>
  <si>
    <t>Dufner</t>
  </si>
  <si>
    <t>Schauffele</t>
  </si>
  <si>
    <t>Finau</t>
  </si>
  <si>
    <t>Zach Johnson 85/1</t>
  </si>
  <si>
    <t>Harman</t>
  </si>
  <si>
    <t>Schwartzel</t>
  </si>
  <si>
    <t>Hatton</t>
  </si>
  <si>
    <t>Francesco Molinari 90/1</t>
  </si>
  <si>
    <t>Hoffmann</t>
  </si>
  <si>
    <t>Lowry</t>
  </si>
  <si>
    <t>Sullivan</t>
  </si>
  <si>
    <t>Bernd Wiesberger 100/1</t>
  </si>
  <si>
    <t>Harrington</t>
  </si>
  <si>
    <t>Westwood</t>
  </si>
  <si>
    <t>Cabrera Bello</t>
  </si>
  <si>
    <t>Charley Hoffman 100/1</t>
  </si>
  <si>
    <t>Matsuyama</t>
  </si>
  <si>
    <t>Oosthuizen</t>
  </si>
  <si>
    <t>Kuchar</t>
  </si>
  <si>
    <t>Peter Uihlein 100/1</t>
  </si>
  <si>
    <t>Day</t>
  </si>
  <si>
    <t>Pieters</t>
  </si>
  <si>
    <t>Xander Schauffele 100/1</t>
  </si>
  <si>
    <t>Nickel</t>
  </si>
  <si>
    <t>Jason Dufner 120/1</t>
  </si>
  <si>
    <t>Ross Fisher 120/1</t>
  </si>
  <si>
    <t>Brian Harman 125/1</t>
  </si>
  <si>
    <t>Bryson DeChambeau 125/1</t>
  </si>
  <si>
    <t>Chris Wood 125/1</t>
  </si>
  <si>
    <t>Tony Finau 125/1</t>
  </si>
  <si>
    <t>Bill Haas 130/1</t>
  </si>
  <si>
    <t>J.B. Holmes 130/1</t>
  </si>
  <si>
    <t>Steve Stricker 130/1</t>
  </si>
  <si>
    <t>Andrew Johnston 150/1</t>
  </si>
  <si>
    <t>Bubba Watson 150/1</t>
  </si>
  <si>
    <t>Charles Howell III 150/1</t>
  </si>
  <si>
    <t>Si Woo Kim 150/1</t>
  </si>
  <si>
    <t>Thorbjorn Olesen 150/1</t>
  </si>
  <si>
    <t>Adam Hadwin 160/1</t>
  </si>
  <si>
    <t>Byeong Hun An 160/1</t>
  </si>
  <si>
    <t>Emiliano Grillo 160/1</t>
  </si>
  <si>
    <t>Hideto Tanihara 160/1</t>
  </si>
  <si>
    <t>Jimmy Walker 165/1</t>
  </si>
  <si>
    <t>Kevin Chappell 165/1</t>
  </si>
  <si>
    <t>Kyle Stanley 165/1</t>
  </si>
  <si>
    <t>Russell Knox 165/1</t>
  </si>
  <si>
    <t>Ryan Fox 175/1</t>
  </si>
  <si>
    <t>Soren Kjeldsen 175/1</t>
  </si>
  <si>
    <t>Billy Horschel 200/1</t>
  </si>
  <si>
    <t>Brendan Steele 200/1</t>
  </si>
  <si>
    <t>Martin Laird 200/1</t>
  </si>
  <si>
    <t>Pat Perez 200/1</t>
  </si>
  <si>
    <t>Ryan Moore 200/1</t>
  </si>
  <si>
    <t>Cameron Smith 225/1</t>
  </si>
  <si>
    <t>Gary Woodland 225/1</t>
  </si>
  <si>
    <t>Jamie Lovemark 225/1</t>
  </si>
  <si>
    <t>Kevin Na 225/1</t>
  </si>
  <si>
    <t>Webb Simpson 225/1</t>
  </si>
  <si>
    <t>Joost Luiten 250/1</t>
  </si>
  <si>
    <t>Wesley Bryan 250/1</t>
  </si>
  <si>
    <t>William McGirt 250/1</t>
  </si>
  <si>
    <t>Alexander Levy 275/1</t>
  </si>
  <si>
    <t>Anirban Lahiri 275/1</t>
  </si>
  <si>
    <t>Brandon Stone 275/1</t>
  </si>
  <si>
    <t>Callum Shinkwin 275/1</t>
  </si>
  <si>
    <t>Dylan Frittelli 275/1</t>
  </si>
  <si>
    <t>Ernie Els 275/1</t>
  </si>
  <si>
    <t>Fabrizio Zanotti 275/1</t>
  </si>
  <si>
    <t>Haotong Li 275/1</t>
  </si>
  <si>
    <t>Matthew Southgate 275/1</t>
  </si>
  <si>
    <t>Pablo Larrazabal 275/1</t>
  </si>
  <si>
    <t>Stewart Cink 275/1</t>
  </si>
  <si>
    <t>Sung Kang 275/1</t>
  </si>
  <si>
    <t>Richard Bland 300/1</t>
  </si>
  <si>
    <t>Sean OHair 300/1</t>
  </si>
  <si>
    <t>Alexander Bjork 325/1</t>
  </si>
  <si>
    <t>David Drysdale 325/1</t>
  </si>
  <si>
    <t>David Horsey 325/1</t>
  </si>
  <si>
    <t>Jeunghun Wang 325/1</t>
  </si>
  <si>
    <t>Julian Suri 325/1</t>
  </si>
  <si>
    <t>K.T. Kim 325/1</t>
  </si>
  <si>
    <t>Richie Ramsay 325/1</t>
  </si>
  <si>
    <t>Paul Waring 350/1</t>
  </si>
  <si>
    <t>Robert Streb 350/1</t>
  </si>
  <si>
    <t>Thongchai Jaidee 350/1</t>
  </si>
  <si>
    <t>Scott Hend 400/1</t>
  </si>
  <si>
    <t>Aaron Baddeley 500/1</t>
  </si>
  <si>
    <t>Andrew Dodt 500/1</t>
  </si>
  <si>
    <t>Austin Connelly 500/1</t>
  </si>
  <si>
    <t>David Lipsky 500/1</t>
  </si>
  <si>
    <t>Matthieu Pavon 500/1</t>
  </si>
  <si>
    <t>Sebastian Munoz 500/1</t>
  </si>
  <si>
    <t>Shiv Kapur 500/1</t>
  </si>
  <si>
    <t>Paul Lawrie 550/1</t>
  </si>
  <si>
    <t>Phachara Khongwatmai 550/1</t>
  </si>
  <si>
    <t>Roberto Castro 550/1</t>
  </si>
  <si>
    <t>Darren Fichardt 600/1</t>
  </si>
  <si>
    <t>Jbe' Kruger 600/1</t>
  </si>
  <si>
    <t>Mike Lorenzo-Vera 600/1</t>
  </si>
  <si>
    <t>Younghan Song 600/1</t>
  </si>
  <si>
    <t>Yusaku Miyazato 600/1</t>
  </si>
  <si>
    <t>Yuta Ikeda 600/1</t>
  </si>
  <si>
    <t>Maverick McNealy 650/1</t>
  </si>
  <si>
    <t>John Daly 750/1</t>
  </si>
  <si>
    <t>Adam Bland 1000/1</t>
  </si>
  <si>
    <t>Ashley Hall 1000/1</t>
  </si>
  <si>
    <t>Chan Kim 1000/1</t>
  </si>
  <si>
    <t>Connor Syme 1000/1</t>
  </si>
  <si>
    <t>Giwhan Kim 1000/1</t>
  </si>
  <si>
    <t>Haydn McCullen 1000/1</t>
  </si>
  <si>
    <t>Joe Dean 1000/1</t>
  </si>
  <si>
    <t>Kent Bulle 1000/1</t>
  </si>
  <si>
    <t>Luca Cianchetti 1000/1</t>
  </si>
  <si>
    <t>Mark Foster 1000/1</t>
  </si>
  <si>
    <t>Mark O'Meara 1000/1</t>
  </si>
  <si>
    <t>Matthew Griffin 1000/1</t>
  </si>
  <si>
    <t>Michael Hendry 1000/1</t>
  </si>
  <si>
    <t>Paul Broadhurst 1000/1</t>
  </si>
  <si>
    <t>Prayad Marksaeng 1000/1</t>
  </si>
  <si>
    <t>Robert Dinwiddie 1000/1</t>
  </si>
  <si>
    <t>Shaun Norris 1000/1</t>
  </si>
  <si>
    <t>Stuart Manley 1000/1</t>
  </si>
  <si>
    <t>Toby Tree 1000/1</t>
  </si>
  <si>
    <t>Tom Lehman 1000/1</t>
  </si>
  <si>
    <t>Yikeun Chang 1000/1</t>
  </si>
  <si>
    <t>Adam Hodkinson 2000/1</t>
  </si>
  <si>
    <t>Darren Clarke 2000/1</t>
  </si>
  <si>
    <t>David Duval 2000/1</t>
  </si>
  <si>
    <t>Nicholas McCarthy 2000/1</t>
  </si>
  <si>
    <t>Ryan McCarthy 2000/1</t>
  </si>
  <si>
    <t>Sandy Lyle 2000/1</t>
  </si>
  <si>
    <t>Todd Hamilton 2000/1</t>
  </si>
  <si>
    <t>2017 US Open</t>
  </si>
  <si>
    <t>Erin Hills</t>
  </si>
  <si>
    <t>June 15-18, 2017</t>
  </si>
  <si>
    <t>Licata/J Mangione</t>
  </si>
  <si>
    <t xml:space="preserve">Jordan Spieth </t>
  </si>
  <si>
    <t>Gibbons/Lee/Myers</t>
  </si>
  <si>
    <t>N Mangione</t>
  </si>
  <si>
    <t>Myers/Lee</t>
  </si>
  <si>
    <t>Yeager</t>
  </si>
  <si>
    <t>Michae Myers/ Ryan Lee</t>
  </si>
  <si>
    <t xml:space="preserve">Rickie Fowler </t>
  </si>
  <si>
    <t>1/3 Jordan Spieth</t>
  </si>
  <si>
    <t xml:space="preserve">Bubba Watson </t>
  </si>
  <si>
    <t>Kevin Ksiner</t>
  </si>
  <si>
    <t>1/2 Hideki Matsuyama</t>
  </si>
  <si>
    <t>Meek</t>
  </si>
  <si>
    <t xml:space="preserve">Patrick Reed </t>
  </si>
  <si>
    <t xml:space="preserve">Brandt Snedeker </t>
  </si>
  <si>
    <t>1/2 Dustin Johnson</t>
  </si>
  <si>
    <t xml:space="preserve">J B Holmes </t>
  </si>
  <si>
    <t>John Rham</t>
  </si>
  <si>
    <t>Dugan</t>
  </si>
  <si>
    <t>JB Holmes</t>
  </si>
  <si>
    <t xml:space="preserve">Gary Woodland </t>
  </si>
  <si>
    <t xml:space="preserve">Gibbons </t>
  </si>
  <si>
    <t xml:space="preserve">Lucas Glover </t>
  </si>
  <si>
    <t xml:space="preserve">Marc Leishman </t>
  </si>
  <si>
    <t xml:space="preserve">Rafael Cabrera Bello </t>
  </si>
  <si>
    <t xml:space="preserve">Russell Henley </t>
  </si>
  <si>
    <t xml:space="preserve">Tommy Fleetwood </t>
  </si>
  <si>
    <t xml:space="preserve">Zach Johnson </t>
  </si>
  <si>
    <t>Bernd Wiesberger 150/1</t>
  </si>
  <si>
    <t>Bud Cauley 150/1</t>
  </si>
  <si>
    <t>Charley Hoffman 150/1</t>
  </si>
  <si>
    <t>Graeme McDowell 150/1</t>
  </si>
  <si>
    <t>Pat Perez 150/1</t>
  </si>
  <si>
    <t>William McGirt 150/1</t>
  </si>
  <si>
    <t>Stewart Cink 175/1</t>
  </si>
  <si>
    <t>Bryson DeChambeau 200/1</t>
  </si>
  <si>
    <t>David Lingmerth 200/1</t>
  </si>
  <si>
    <t>Jamie Lovemark 200/1</t>
  </si>
  <si>
    <t>Keegan Bradley 200/1</t>
  </si>
  <si>
    <t>Kevin Na 200/1</t>
  </si>
  <si>
    <t>Russell Knox 200/1</t>
  </si>
  <si>
    <t>Ryan Palmer 200/1</t>
  </si>
  <si>
    <t>Scott Piercy 200/1</t>
  </si>
  <si>
    <t>Sean O'Hair 200/1</t>
  </si>
  <si>
    <t>Wesley Bryan 200/1</t>
  </si>
  <si>
    <t>Brian Harman 225/1</t>
  </si>
  <si>
    <t>Chris Wood 225/1</t>
  </si>
  <si>
    <t>Daniel Summerhays 225/1</t>
  </si>
  <si>
    <t>Hideto Tanihara 225/1</t>
  </si>
  <si>
    <t>Martin Laird 225/1</t>
  </si>
  <si>
    <t>Peter Uihlein 225/1</t>
  </si>
  <si>
    <t>Danny Willett 250/1</t>
  </si>
  <si>
    <t>Harris English 250/1</t>
  </si>
  <si>
    <t>Jim Furyk 250/1</t>
  </si>
  <si>
    <t>Stephan Jaeger 250/1</t>
  </si>
  <si>
    <t>Jordan Niebrugge 275/1</t>
  </si>
  <si>
    <t>Alexander Levy 300/1</t>
  </si>
  <si>
    <t>Andrew Johnston 300/1</t>
  </si>
  <si>
    <t>Jason Kokrak 300/1</t>
  </si>
  <si>
    <t>Paul Dunne 300/1</t>
  </si>
  <si>
    <t>Brandon Stone 350/1</t>
  </si>
  <si>
    <t>Chez Reavie 350/1</t>
  </si>
  <si>
    <t>Ernie Els 350/1</t>
  </si>
  <si>
    <t>George Coetzee 350/1</t>
  </si>
  <si>
    <t>Jeunghun Wang 350/1</t>
  </si>
  <si>
    <t>Angel Cabrera 500/1</t>
  </si>
  <si>
    <t>Brian Stuard 500/1</t>
  </si>
  <si>
    <t>C.T. Pan 500/1</t>
  </si>
  <si>
    <t>Eddie Pepperell 500/1</t>
  </si>
  <si>
    <t>Maverick McNealy 500/1</t>
  </si>
  <si>
    <t>Richie Ramsay 500/1</t>
  </si>
  <si>
    <t>Roberto Castro 500/1</t>
  </si>
  <si>
    <t>Satoshi Kodaira 500/1</t>
  </si>
  <si>
    <t>Scottie Scheffler 500/1</t>
  </si>
  <si>
    <t>Shugo Imahira 500/1</t>
  </si>
  <si>
    <t>Ted Potter Jr 500/1</t>
  </si>
  <si>
    <t>Thomas Aiken 500/1</t>
  </si>
  <si>
    <t>Trey Mullinax 500/1</t>
  </si>
  <si>
    <t>Xander Schauffele 500/1</t>
  </si>
  <si>
    <t>Aaron Rai 550/1</t>
  </si>
  <si>
    <t>Andres Romero 550/1</t>
  </si>
  <si>
    <t>J.T. Poston 550/1</t>
  </si>
  <si>
    <t>Jack Maguire 550/1</t>
  </si>
  <si>
    <t>Jonathan Randolph 550/1</t>
  </si>
  <si>
    <t>Matt Wallace 550/1</t>
  </si>
  <si>
    <t>Ben Kohles 1000/1</t>
  </si>
  <si>
    <t>Brad Dalke 1000/1</t>
  </si>
  <si>
    <t>Brice Garnett 1000/1</t>
  </si>
  <si>
    <t>Corey Conners 1000/1</t>
  </si>
  <si>
    <t>Daniel Chopra 1000/1</t>
  </si>
  <si>
    <t>Daniel Miernicki 1000/1</t>
  </si>
  <si>
    <t>Gene Sauers 1000/1</t>
  </si>
  <si>
    <t>Joel Stalter 1000/1</t>
  </si>
  <si>
    <t>Kyle Thompson 1000/1</t>
  </si>
  <si>
    <t>Michael Putnam 1000/1</t>
  </si>
  <si>
    <t>Oliver Bekker 1000/1</t>
  </si>
  <si>
    <t>Ryan Brehm 1000/1</t>
  </si>
  <si>
    <t>Sam Ryder 1000/1</t>
  </si>
  <si>
    <t>Stewart Hagestad 1000/1</t>
  </si>
  <si>
    <t>Talor Gooch 1000/1</t>
  </si>
  <si>
    <t>Troy Merritt 1000/1</t>
  </si>
  <si>
    <t>Wade Ormsby 1000/1</t>
  </si>
  <si>
    <t>Andy Pope 2000/1</t>
  </si>
  <si>
    <t>Davis Love IV 2000/1</t>
  </si>
  <si>
    <t>Derek Barron 2000/1</t>
  </si>
  <si>
    <t>Garrett Osborn 2000/1</t>
  </si>
  <si>
    <t>John Oda 2000/1</t>
  </si>
  <si>
    <t>Matthew Campbell 2000/1</t>
  </si>
  <si>
    <t>Max Greyserman 2000/1</t>
  </si>
  <si>
    <t>Nick Flanagan 2000/1</t>
  </si>
  <si>
    <t>Roberto Diaz 2000/1</t>
  </si>
  <si>
    <t>Scott Gregory 2000/1</t>
  </si>
  <si>
    <t>Scott Harvey 2000/1</t>
  </si>
  <si>
    <t>Tyson Alexander 2000/1</t>
  </si>
  <si>
    <t>Walker Lee 2000/1</t>
  </si>
  <si>
    <t>Alex Smalley 2500/1</t>
  </si>
  <si>
    <t>Cameron Champ 2500/1</t>
  </si>
  <si>
    <t>Christopher Crawford 2500/1</t>
  </si>
  <si>
    <t>Kevin Dougherty 2500/1</t>
  </si>
  <si>
    <t>Mason Andersen 2500/1</t>
  </si>
  <si>
    <t>Roman Robledo 2500/1</t>
  </si>
  <si>
    <t>Sahith Theegala 2500/1</t>
  </si>
  <si>
    <t>2017 Masters</t>
  </si>
  <si>
    <t>April 6-9, 2017</t>
  </si>
  <si>
    <t xml:space="preserve">1. The top 40 golfers will each be auctioned off individually followed by an auction of the field, making a total of 41 auctions. The participant who makes the highest bid will win the auction and own the player. </t>
  </si>
  <si>
    <t>31/2</t>
  </si>
  <si>
    <t>Joe/Brian G</t>
  </si>
  <si>
    <t>Matt Oliver</t>
  </si>
  <si>
    <t>Nick/Brian</t>
  </si>
  <si>
    <t>1/2 Jason Day</t>
  </si>
  <si>
    <t>1/2 Brooks Koepka</t>
  </si>
  <si>
    <t>1/2 Jon Rahm</t>
  </si>
  <si>
    <t>1/2 Sergio Garcia</t>
  </si>
  <si>
    <t>1/2 Rory McIlroy</t>
  </si>
  <si>
    <t>Dainel Berger</t>
  </si>
  <si>
    <t>115/1</t>
  </si>
  <si>
    <t>Alex Noren 130/1</t>
  </si>
  <si>
    <t>Charley Hoffman 135/1</t>
  </si>
  <si>
    <t>Emiliano Grillo 135/1</t>
  </si>
  <si>
    <t>Rafael Cabrera Bello 135/1</t>
  </si>
  <si>
    <t>Ryan Moore 135/1</t>
  </si>
  <si>
    <t>Jason Dufner 140/1</t>
  </si>
  <si>
    <t>Russell Knox 150/1</t>
  </si>
  <si>
    <t>Francesco Molinari 160/1</t>
  </si>
  <si>
    <t>Jim Furyk 160/1</t>
  </si>
  <si>
    <t>Kevin Na 160/1</t>
  </si>
  <si>
    <t>Pat Perez 160/1</t>
  </si>
  <si>
    <t>Ross Fisher 160/1</t>
  </si>
  <si>
    <t>Angel Cabrera 175/1</t>
  </si>
  <si>
    <t>Byeong Hun An 200/1</t>
  </si>
  <si>
    <t>Andy Sullivan 220/1</t>
  </si>
  <si>
    <t>Bernd Wiesberger 220/1</t>
  </si>
  <si>
    <t>Fred Couples 225/1</t>
  </si>
  <si>
    <t>Hideto Tanihara 250/1</t>
  </si>
  <si>
    <t>Hudson Swafford 250/1</t>
  </si>
  <si>
    <t>Jhonattan Vegas 250/1</t>
  </si>
  <si>
    <t>Kevin Chappell 250/1</t>
  </si>
  <si>
    <t>Steve Stricker 250/1</t>
  </si>
  <si>
    <t>Webb Simpson 250/1</t>
  </si>
  <si>
    <t>Chris Wood 300/1</t>
  </si>
  <si>
    <t>Ernie Els 300/1</t>
  </si>
  <si>
    <t>Jeunghun Wang 300/1</t>
  </si>
  <si>
    <t>Sean O'Hair 300/1</t>
  </si>
  <si>
    <t>William McGirt 300/1</t>
  </si>
  <si>
    <t>Bernhard Langer 500/1</t>
  </si>
  <si>
    <t>Billy Hurley III 500/1</t>
  </si>
  <si>
    <t>Curtis Luck 500/1</t>
  </si>
  <si>
    <t>Daniel Summerhays 500/1</t>
  </si>
  <si>
    <t>James Hahn 500/1</t>
  </si>
  <si>
    <t>Mackenzie Hughes 500/1</t>
  </si>
  <si>
    <t>Rod Pampling 500/1</t>
  </si>
  <si>
    <t>Si Woo Kim 500/1</t>
  </si>
  <si>
    <t>Jose Maria Olazabal 1000/1</t>
  </si>
  <si>
    <t>Ian Woosnam 2000/1</t>
  </si>
  <si>
    <t>Mark OMeara 2000/1</t>
  </si>
  <si>
    <t>Mike Weir 2000/1</t>
  </si>
  <si>
    <t>Stewart Hagestad 2000/1</t>
  </si>
  <si>
    <t>Toto Gana 2000/1</t>
  </si>
  <si>
    <t>Trevor Immelman 2000/1</t>
  </si>
  <si>
    <t>Larry Mize 5000/1</t>
  </si>
  <si>
    <t>Sandy Lyle 5000/1</t>
  </si>
  <si>
    <t>2016 PGA Championship</t>
  </si>
  <si>
    <t>Baltusrol Golf Club</t>
  </si>
  <si>
    <t>July 28-31, 2016</t>
  </si>
  <si>
    <t xml:space="preserve">1. The top 36 golfers will each be auctioned off individually followed by an auction of the field, making a total of 37 auctions. The participant who makes the highest bid will win the auction and own the player. </t>
  </si>
  <si>
    <t>15/2</t>
  </si>
  <si>
    <t>Nick/Steve</t>
  </si>
  <si>
    <t>Daniel Summerhays</t>
  </si>
  <si>
    <t>1/2 Steve Stricker</t>
  </si>
  <si>
    <t>Pat Dugan</t>
  </si>
  <si>
    <t>The Field (see below)</t>
  </si>
  <si>
    <t>Source: Vegasinsider.com</t>
  </si>
  <si>
    <t>Andy Sullivan</t>
  </si>
  <si>
    <t>Danny Lee</t>
  </si>
  <si>
    <t>David Lingmerth</t>
  </si>
  <si>
    <t>Soren Kjeldsen</t>
  </si>
  <si>
    <t>Kevin Streelman</t>
  </si>
  <si>
    <t>Luke Donald</t>
  </si>
  <si>
    <t>Nicolas Colsaerts</t>
  </si>
  <si>
    <t>William McGirt</t>
  </si>
  <si>
    <t>Anirban Lahiri</t>
  </si>
  <si>
    <t>Bryce Molder</t>
  </si>
  <si>
    <t>Chris Wood</t>
  </si>
  <si>
    <t>Colt Knost</t>
  </si>
  <si>
    <t>Jamie Lovemark</t>
  </si>
  <si>
    <t>Joost Luiten</t>
  </si>
  <si>
    <t>KJ Choi</t>
  </si>
  <si>
    <t>Kyle Reifers</t>
  </si>
  <si>
    <t>Smylie Kaufman</t>
  </si>
  <si>
    <t>Cameron Tringale</t>
  </si>
  <si>
    <t>David Toms</t>
  </si>
  <si>
    <t>Freddie Jacobson</t>
  </si>
  <si>
    <t>George Coetzee</t>
  </si>
  <si>
    <t>Gregory Bourdy</t>
  </si>
  <si>
    <t>John Senden</t>
  </si>
  <si>
    <t>Jonas Blixt</t>
  </si>
  <si>
    <t>Kyung-Tae Kim</t>
  </si>
  <si>
    <t>Scott Hend</t>
  </si>
  <si>
    <t>Thongchai Jaidee</t>
  </si>
  <si>
    <t>Victor Dubuisson</t>
  </si>
  <si>
    <t>James Hahn</t>
  </si>
  <si>
    <t>Troy Merritt</t>
  </si>
  <si>
    <t>Younghan Song</t>
  </si>
  <si>
    <t>Bradley Dredge</t>
  </si>
  <si>
    <t>Brandon Stone</t>
  </si>
  <si>
    <t>Jamie Donaldson</t>
  </si>
  <si>
    <t>Jason Bohn</t>
  </si>
  <si>
    <t>Jeunghun Wang</t>
  </si>
  <si>
    <t>Jon Curran</t>
  </si>
  <si>
    <t>YE Yang</t>
  </si>
  <si>
    <t>Billy Hurley III</t>
  </si>
  <si>
    <t>Fabian Gomez</t>
  </si>
  <si>
    <t>Greg Chalmers</t>
  </si>
  <si>
    <t>Hideto Tanihara</t>
  </si>
  <si>
    <t>Marcus Fraser</t>
  </si>
  <si>
    <t>Rikard Karlberg</t>
  </si>
  <si>
    <t>Vaughn Taylor</t>
  </si>
  <si>
    <t>Zac Blair</t>
  </si>
  <si>
    <t>Soomin Lee</t>
  </si>
  <si>
    <t>Yuta Ikeda</t>
  </si>
  <si>
    <t>Kristoffer Broberg</t>
  </si>
  <si>
    <t>Brian Gaffney</t>
  </si>
  <si>
    <t>Darren Clarke</t>
  </si>
  <si>
    <t>John Daly</t>
  </si>
  <si>
    <t>Matt Dobyns</t>
  </si>
  <si>
    <t>Omar Uresti</t>
  </si>
  <si>
    <t>Rocco Mediate</t>
  </si>
  <si>
    <t>Rod Perry</t>
  </si>
  <si>
    <t>Joe Summerhays</t>
  </si>
  <si>
    <t>Johan Kok</t>
  </si>
  <si>
    <t>Tommy Sharp</t>
  </si>
  <si>
    <t>Wyatt Worthington II</t>
  </si>
  <si>
    <t>Ben Polland</t>
  </si>
  <si>
    <t>Brad Lardon</t>
  </si>
  <si>
    <t>Brad Ott</t>
  </si>
  <si>
    <t>Bryan Gaffney</t>
  </si>
  <si>
    <t>David Muttitt</t>
  </si>
  <si>
    <t>Josh Speight</t>
  </si>
  <si>
    <t>Mark Brown</t>
  </si>
  <si>
    <t>Mitch Lowe</t>
  </si>
  <si>
    <t>Rich Beem</t>
  </si>
  <si>
    <t>Rich Berberian</t>
  </si>
  <si>
    <t>Rick Schuller</t>
  </si>
  <si>
    <t>Rob Labritz</t>
  </si>
  <si>
    <t>Ryan Helminen</t>
  </si>
  <si>
    <t>Shaun Micheel</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</si>
</sst>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
    <numFmt numFmtId="165" formatCode="&quot;$&quot;#,##0.00"/>
    <numFmt numFmtId="166" formatCode="_(&quot;$&quot;* #,##0.00_);_(&quot;$&quot;* \(#,##0.00\);_(&quot;$&quot;* &quot;-&quot;??_);_(@_)"/>
    <numFmt numFmtId="167" formatCode="yyyy/m"/>
    <numFmt numFmtId="168" formatCode="&quot;$&quot;#,##0"/>
    <numFmt numFmtId="169" formatCode="&quot;$&quot;#,##0.0"/>
    <numFmt numFmtId="170" formatCode="#,##0;(#,##0)"/>
  </numFmts>
  <fonts count="30">
    <font>
      <sz val="10.0"/>
      <color rgb="FF000000"/>
      <name val="Arial"/>
    </font>
    <font>
      <b/>
      <i/>
      <sz val="12.0"/>
    </font>
    <font>
      <i/>
      <sz val="11.0"/>
    </font>
    <font>
      <i/>
      <sz val="10.0"/>
    </font>
    <font>
      <i/>
      <sz val="12.0"/>
    </font>
    <font/>
    <font>
      <b/>
      <u/>
    </font>
    <font>
      <b/>
    </font>
    <font>
      <b/>
      <u/>
    </font>
    <font>
      <color rgb="FF000000"/>
      <name val="Arial"/>
    </font>
    <font>
      <i/>
    </font>
    <font>
      <sz val="11.0"/>
      <color rgb="FF000000"/>
      <name val="Calibri"/>
    </font>
    <font>
      <color rgb="FF555555"/>
      <name val="Arial"/>
    </font>
    <font>
      <sz val="15.0"/>
      <color rgb="FF000000"/>
      <name val="&quot;Proxima Nova&quot;"/>
    </font>
    <font>
      <b/>
      <u/>
    </font>
    <font>
      <sz val="10.0"/>
      <name val="Arial"/>
    </font>
    <font>
      <b/>
      <u/>
      <color rgb="FF000000"/>
      <name val="Arial"/>
    </font>
    <font>
      <i/>
      <color rgb="FF000000"/>
      <name val="Arial"/>
    </font>
    <font>
      <sz val="10.0"/>
    </font>
    <font>
      <color rgb="FF555555"/>
      <name val="'Gotham Narrow SSm A'"/>
    </font>
    <font>
      <b/>
      <sz val="8.0"/>
      <color rgb="FF000000"/>
      <name val="Arial"/>
    </font>
    <font>
      <sz val="8.0"/>
      <color rgb="FF000000"/>
      <name val="Arial"/>
    </font>
    <font>
      <b/>
      <sz val="14.0"/>
      <color rgb="FF000000"/>
      <name val="Calibri"/>
    </font>
    <font>
      <b/>
      <sz val="11.0"/>
      <color rgb="FF000000"/>
      <name val="Calibri"/>
    </font>
    <font>
      <b/>
      <u/>
      <sz val="11.0"/>
      <color rgb="FF000000"/>
      <name val="Calibri"/>
    </font>
    <font>
      <i/>
      <name val="Arial"/>
    </font>
    <font>
      <name val="Arial"/>
    </font>
    <font>
      <b/>
      <name val="Arial"/>
    </font>
    <font>
      <b/>
      <color rgb="FF000000"/>
    </font>
    <font>
      <b/>
      <sz val="10.0"/>
      <color rgb="FF000000"/>
      <name val="Arial"/>
    </font>
  </fonts>
  <fills count="7">
    <fill>
      <patternFill patternType="none"/>
    </fill>
    <fill>
      <patternFill patternType="lightGray"/>
    </fill>
    <fill>
      <patternFill patternType="solid">
        <fgColor rgb="FFB6D7A8"/>
        <bgColor rgb="FFB6D7A8"/>
      </patternFill>
    </fill>
    <fill>
      <patternFill patternType="solid">
        <fgColor rgb="FFE4E9ED"/>
        <bgColor rgb="FFE4E9ED"/>
      </patternFill>
    </fill>
    <fill>
      <patternFill patternType="solid">
        <fgColor rgb="FFFFFFFF"/>
        <bgColor rgb="FFFFFFFF"/>
      </patternFill>
    </fill>
    <fill>
      <patternFill patternType="solid">
        <fgColor rgb="FFFFF2CC"/>
        <bgColor rgb="FFFFF2CC"/>
      </patternFill>
    </fill>
    <fill>
      <patternFill patternType="solid">
        <fgColor rgb="FFFCF5E5"/>
        <bgColor rgb="FFFCF5E5"/>
      </patternFill>
    </fill>
  </fills>
  <borders count="15">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top style="thin">
        <color rgb="FF000000"/>
      </top>
    </border>
    <border>
      <left style="thin">
        <color rgb="FF000000"/>
      </left>
    </border>
    <border>
      <right style="thin">
        <color rgb="FF000000"/>
      </right>
      <top style="thin">
        <color rgb="FF000000"/>
      </top>
    </border>
    <border>
      <left style="thin">
        <color rgb="FF000000"/>
      </left>
      <top style="thin">
        <color rgb="FF000000"/>
      </top>
    </border>
    <border>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15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3" numFmtId="0" xfId="0" applyAlignment="1" applyFont="1">
      <alignment horizontal="center" readingOrder="0"/>
    </xf>
    <xf borderId="0" fillId="2" fontId="4" numFmtId="0" xfId="0" applyAlignment="1" applyFill="1" applyFont="1">
      <alignment horizontal="center" readingOrder="0"/>
    </xf>
    <xf borderId="0" fillId="2" fontId="5" numFmtId="0" xfId="0" applyFont="1"/>
    <xf borderId="0" fillId="0" fontId="6" numFmtId="0" xfId="0" applyAlignment="1" applyFont="1">
      <alignment readingOrder="0"/>
    </xf>
    <xf borderId="0" fillId="0" fontId="5" numFmtId="0" xfId="0" applyAlignment="1" applyFont="1">
      <alignment readingOrder="0" shrinkToFit="0" vertical="top" wrapText="0"/>
    </xf>
    <xf borderId="0" fillId="0" fontId="5" numFmtId="0" xfId="0" applyAlignment="1" applyFont="1">
      <alignment readingOrder="0"/>
    </xf>
    <xf borderId="1" fillId="0" fontId="7" numFmtId="0" xfId="0" applyAlignment="1" applyBorder="1" applyFont="1">
      <alignment horizontal="center" readingOrder="0"/>
    </xf>
    <xf borderId="2" fillId="0" fontId="7" numFmtId="0" xfId="0" applyAlignment="1" applyBorder="1" applyFont="1">
      <alignment horizontal="center" readingOrder="0"/>
    </xf>
    <xf borderId="0" fillId="0" fontId="8" numFmtId="0" xfId="0" applyAlignment="1" applyFont="1">
      <alignment horizontal="center" readingOrder="0"/>
    </xf>
    <xf borderId="0" fillId="0" fontId="9" numFmtId="0" xfId="0" applyAlignment="1" applyFont="1">
      <alignment readingOrder="0"/>
    </xf>
    <xf borderId="3" fillId="0" fontId="0" numFmtId="164" xfId="0" applyAlignment="1" applyBorder="1" applyFont="1" applyNumberFormat="1">
      <alignment horizontal="center" readingOrder="0"/>
    </xf>
    <xf borderId="3" fillId="0" fontId="5" numFmtId="0" xfId="0" applyAlignment="1" applyBorder="1" applyFont="1">
      <alignment readingOrder="0"/>
    </xf>
    <xf borderId="3" fillId="0" fontId="5" numFmtId="3" xfId="0" applyAlignment="1" applyBorder="1" applyFont="1" applyNumberFormat="1">
      <alignment readingOrder="0"/>
    </xf>
    <xf borderId="0" fillId="0" fontId="10" numFmtId="0" xfId="0" applyAlignment="1" applyFont="1">
      <alignment readingOrder="0"/>
    </xf>
    <xf borderId="0" fillId="0" fontId="10" numFmtId="165" xfId="0" applyAlignment="1" applyFont="1" applyNumberFormat="1">
      <alignment horizontal="right" readingOrder="0"/>
    </xf>
    <xf borderId="0" fillId="0" fontId="10" numFmtId="0" xfId="0" applyAlignment="1" applyFont="1">
      <alignment horizontal="right" readingOrder="0"/>
    </xf>
    <xf borderId="0" fillId="0" fontId="5" numFmtId="9" xfId="0" applyAlignment="1" applyFont="1" applyNumberFormat="1">
      <alignment readingOrder="0"/>
    </xf>
    <xf borderId="0" fillId="0" fontId="5" numFmtId="165" xfId="0" applyAlignment="1" applyFont="1" applyNumberFormat="1">
      <alignment readingOrder="0"/>
    </xf>
    <xf borderId="0" fillId="0" fontId="11" numFmtId="0" xfId="0" applyAlignment="1" applyFont="1">
      <alignment readingOrder="0" shrinkToFit="0" vertical="bottom" wrapText="0"/>
    </xf>
    <xf borderId="4" fillId="0" fontId="0" numFmtId="164" xfId="0" applyAlignment="1" applyBorder="1" applyFont="1" applyNumberFormat="1">
      <alignment horizontal="center" readingOrder="0"/>
    </xf>
    <xf borderId="4" fillId="0" fontId="5" numFmtId="0" xfId="0" applyAlignment="1" applyBorder="1" applyFont="1">
      <alignment readingOrder="0"/>
    </xf>
    <xf borderId="4" fillId="0" fontId="5" numFmtId="3" xfId="0" applyAlignment="1" applyBorder="1" applyFont="1" applyNumberFormat="1">
      <alignment readingOrder="0"/>
    </xf>
    <xf borderId="4" fillId="0" fontId="0" numFmtId="0" xfId="0" applyAlignment="1" applyBorder="1" applyFont="1">
      <alignment horizontal="center" readingOrder="0"/>
    </xf>
    <xf borderId="5" fillId="0" fontId="5" numFmtId="0" xfId="0" applyAlignment="1" applyBorder="1" applyFont="1">
      <alignment horizontal="center" readingOrder="0"/>
    </xf>
    <xf borderId="5" fillId="0" fontId="5" numFmtId="0" xfId="0" applyBorder="1" applyFont="1"/>
    <xf borderId="0" fillId="3" fontId="12" numFmtId="0" xfId="0" applyAlignment="1" applyFill="1" applyFont="1">
      <alignment horizontal="center" readingOrder="0"/>
    </xf>
    <xf borderId="0" fillId="0" fontId="5" numFmtId="166" xfId="0" applyFont="1" applyNumberFormat="1"/>
    <xf borderId="0" fillId="4" fontId="12" numFmtId="0" xfId="0" applyAlignment="1" applyFill="1" applyFont="1">
      <alignment horizontal="center" readingOrder="0"/>
    </xf>
    <xf borderId="0" fillId="0" fontId="12" numFmtId="0" xfId="0" applyAlignment="1" applyFont="1">
      <alignment horizontal="center" readingOrder="0"/>
    </xf>
    <xf borderId="0" fillId="4" fontId="13" numFmtId="0" xfId="0" applyAlignment="1" applyFont="1">
      <alignment readingOrder="0"/>
    </xf>
    <xf borderId="5" fillId="0" fontId="10" numFmtId="165" xfId="0" applyAlignment="1" applyBorder="1" applyFont="1" applyNumberFormat="1">
      <alignment horizontal="right" readingOrder="0"/>
    </xf>
    <xf borderId="0" fillId="0" fontId="7" numFmtId="0" xfId="0" applyAlignment="1" applyFont="1">
      <alignment horizontal="right" readingOrder="0"/>
    </xf>
    <xf borderId="0" fillId="0" fontId="7" numFmtId="165" xfId="0" applyAlignment="1" applyFont="1" applyNumberFormat="1">
      <alignment readingOrder="0"/>
    </xf>
    <xf borderId="0" fillId="0" fontId="10" numFmtId="0" xfId="0" applyAlignment="1" applyFont="1">
      <alignment horizontal="right"/>
    </xf>
    <xf borderId="0" fillId="0" fontId="7" numFmtId="165" xfId="0" applyAlignment="1" applyFont="1" applyNumberFormat="1">
      <alignment readingOrder="0"/>
    </xf>
    <xf borderId="2" fillId="2" fontId="7" numFmtId="0" xfId="0" applyAlignment="1" applyBorder="1" applyFont="1">
      <alignment horizontal="center" readingOrder="0"/>
    </xf>
    <xf borderId="6" fillId="0" fontId="9" numFmtId="0" xfId="0" applyAlignment="1" applyBorder="1" applyFont="1">
      <alignment readingOrder="0"/>
    </xf>
    <xf borderId="4" fillId="0" fontId="5" numFmtId="0" xfId="0" applyAlignment="1" applyBorder="1" applyFont="1">
      <alignment horizontal="center" readingOrder="0"/>
    </xf>
    <xf borderId="0" fillId="0" fontId="5" numFmtId="0" xfId="0" applyAlignment="1" applyFont="1">
      <alignment vertical="bottom"/>
    </xf>
    <xf borderId="0" fillId="0" fontId="5" numFmtId="0" xfId="0" applyAlignment="1" applyFont="1">
      <alignment readingOrder="0" vertical="bottom"/>
    </xf>
    <xf borderId="7" fillId="0" fontId="10" numFmtId="0" xfId="0" applyAlignment="1" applyBorder="1" applyFont="1">
      <alignment readingOrder="0" vertical="bottom"/>
    </xf>
    <xf borderId="8" fillId="0" fontId="5" numFmtId="0" xfId="0" applyAlignment="1" applyBorder="1" applyFont="1">
      <alignment horizontal="center" readingOrder="0" vertical="bottom"/>
    </xf>
    <xf borderId="8" fillId="0" fontId="5" numFmtId="0" xfId="0" applyAlignment="1" applyBorder="1" applyFont="1">
      <alignment readingOrder="0" vertical="bottom"/>
    </xf>
    <xf borderId="0" fillId="0" fontId="0" numFmtId="0" xfId="0" applyAlignment="1" applyFont="1">
      <alignment horizontal="center" readingOrder="0"/>
    </xf>
    <xf borderId="0" fillId="0" fontId="14" numFmtId="0" xfId="0" applyAlignment="1" applyFont="1">
      <alignment horizontal="left" readingOrder="0"/>
    </xf>
    <xf borderId="0" fillId="0" fontId="15" numFmtId="0" xfId="0" applyAlignment="1" applyFont="1">
      <alignment horizontal="left" readingOrder="0"/>
    </xf>
    <xf borderId="0" fillId="0" fontId="15" numFmtId="0" xfId="0" applyAlignment="1" applyFont="1">
      <alignment readingOrder="0"/>
    </xf>
    <xf borderId="0" fillId="0" fontId="0" numFmtId="167" xfId="0" applyAlignment="1" applyFont="1" applyNumberFormat="1">
      <alignment horizontal="center" readingOrder="0"/>
    </xf>
    <xf borderId="0" fillId="0" fontId="15" numFmtId="0" xfId="0" applyAlignment="1" applyFont="1">
      <alignment readingOrder="0"/>
    </xf>
    <xf borderId="0" fillId="0" fontId="9" numFmtId="0" xfId="0" applyAlignment="1" applyFont="1">
      <alignment horizontal="center" readingOrder="0"/>
    </xf>
    <xf borderId="0" fillId="0" fontId="16" numFmtId="0" xfId="0" applyAlignment="1" applyFont="1">
      <alignment readingOrder="0"/>
    </xf>
    <xf borderId="0" fillId="0" fontId="17" numFmtId="0" xfId="0" applyAlignment="1" applyFont="1">
      <alignment readingOrder="0"/>
    </xf>
    <xf borderId="0" fillId="0" fontId="5" numFmtId="165" xfId="0" applyFont="1" applyNumberFormat="1"/>
    <xf borderId="0" fillId="0" fontId="5" numFmtId="165" xfId="0" applyAlignment="1" applyFont="1" applyNumberFormat="1">
      <alignment readingOrder="0"/>
    </xf>
    <xf borderId="0" fillId="0" fontId="9" numFmtId="165" xfId="0" applyAlignment="1" applyFont="1" applyNumberFormat="1">
      <alignment readingOrder="0"/>
    </xf>
    <xf borderId="0" fillId="0" fontId="7" numFmtId="0" xfId="0" applyAlignment="1" applyFont="1">
      <alignment horizontal="center" readingOrder="0"/>
    </xf>
    <xf borderId="0" fillId="0" fontId="11" numFmtId="165" xfId="0" applyAlignment="1" applyFont="1" applyNumberFormat="1">
      <alignment readingOrder="0" shrinkToFit="0" vertical="bottom" wrapText="0"/>
    </xf>
    <xf borderId="0" fillId="0" fontId="5" numFmtId="0" xfId="0" applyAlignment="1" applyFont="1">
      <alignment horizontal="center" readingOrder="0"/>
    </xf>
    <xf borderId="4" fillId="0" fontId="18" numFmtId="0" xfId="0" applyAlignment="1" applyBorder="1" applyFont="1">
      <alignment horizontal="center" readingOrder="0"/>
    </xf>
    <xf borderId="6" fillId="0" fontId="5" numFmtId="0" xfId="0" applyAlignment="1" applyBorder="1" applyFont="1">
      <alignment readingOrder="0"/>
    </xf>
    <xf borderId="7" fillId="0" fontId="10" numFmtId="0" xfId="0" applyAlignment="1" applyBorder="1" applyFont="1">
      <alignment readingOrder="0"/>
    </xf>
    <xf borderId="8" fillId="0" fontId="5" numFmtId="0" xfId="0" applyAlignment="1" applyBorder="1" applyFont="1">
      <alignment horizontal="center" readingOrder="0"/>
    </xf>
    <xf borderId="8" fillId="0" fontId="5" numFmtId="0" xfId="0" applyAlignment="1" applyBorder="1" applyFont="1">
      <alignment readingOrder="0"/>
    </xf>
    <xf borderId="0" fillId="3" fontId="19" numFmtId="0" xfId="0" applyAlignment="1" applyFont="1">
      <alignment horizontal="center" readingOrder="0"/>
    </xf>
    <xf borderId="9" fillId="0" fontId="7" numFmtId="165" xfId="0" applyAlignment="1" applyBorder="1" applyFont="1" applyNumberFormat="1">
      <alignment readingOrder="0"/>
    </xf>
    <xf borderId="4" fillId="0" fontId="20" numFmtId="0" xfId="0" applyAlignment="1" applyBorder="1" applyFont="1">
      <alignment horizontal="left" readingOrder="0"/>
    </xf>
    <xf borderId="10" fillId="0" fontId="21" numFmtId="164" xfId="0" applyAlignment="1" applyBorder="1" applyFont="1" applyNumberFormat="1">
      <alignment horizontal="center" readingOrder="0"/>
    </xf>
    <xf borderId="0" fillId="0" fontId="5" numFmtId="168" xfId="0" applyAlignment="1" applyFont="1" applyNumberFormat="1">
      <alignment readingOrder="0"/>
    </xf>
    <xf borderId="10" fillId="0" fontId="21" numFmtId="0" xfId="0" applyAlignment="1" applyBorder="1" applyFont="1">
      <alignment horizontal="center" readingOrder="0"/>
    </xf>
    <xf borderId="0" fillId="3" fontId="19" numFmtId="165" xfId="0" applyAlignment="1" applyFont="1" applyNumberFormat="1">
      <alignment horizontal="center" readingOrder="0"/>
    </xf>
    <xf borderId="0" fillId="4" fontId="19" numFmtId="0" xfId="0" applyAlignment="1" applyFont="1">
      <alignment horizontal="center" readingOrder="0"/>
    </xf>
    <xf borderId="0" fillId="4" fontId="19" numFmtId="165" xfId="0" applyAlignment="1" applyFont="1" applyNumberFormat="1">
      <alignment horizontal="center" readingOrder="0"/>
    </xf>
    <xf borderId="0" fillId="0" fontId="19" numFmtId="0" xfId="0" applyAlignment="1" applyFont="1">
      <alignment horizontal="center" readingOrder="0"/>
    </xf>
    <xf borderId="0" fillId="0" fontId="19" numFmtId="165" xfId="0" applyAlignment="1" applyFont="1" applyNumberFormat="1">
      <alignment horizontal="right" readingOrder="0"/>
    </xf>
    <xf borderId="0" fillId="4" fontId="19" numFmtId="165" xfId="0" applyAlignment="1" applyFont="1" applyNumberFormat="1">
      <alignment horizontal="right" readingOrder="0"/>
    </xf>
    <xf borderId="9" fillId="0" fontId="5" numFmtId="165" xfId="0" applyAlignment="1" applyBorder="1" applyFont="1" applyNumberFormat="1">
      <alignment readingOrder="0"/>
    </xf>
    <xf borderId="3" fillId="2" fontId="7" numFmtId="0" xfId="0" applyAlignment="1" applyBorder="1" applyFont="1">
      <alignment horizontal="center" readingOrder="0"/>
    </xf>
    <xf borderId="6" fillId="0" fontId="20" numFmtId="0" xfId="0" applyAlignment="1" applyBorder="1" applyFont="1">
      <alignment horizontal="left" readingOrder="0"/>
    </xf>
    <xf borderId="4" fillId="0" fontId="21" numFmtId="0" xfId="0" applyAlignment="1" applyBorder="1" applyFont="1">
      <alignment horizontal="center" readingOrder="0"/>
    </xf>
    <xf borderId="4" fillId="0" fontId="9" numFmtId="0" xfId="0" applyAlignment="1" applyBorder="1" applyFont="1">
      <alignment readingOrder="0"/>
    </xf>
    <xf borderId="11" fillId="2" fontId="7" numFmtId="0" xfId="0" applyAlignment="1" applyBorder="1" applyFont="1">
      <alignment horizontal="center" readingOrder="0"/>
    </xf>
    <xf borderId="7" fillId="0" fontId="20" numFmtId="0" xfId="0" applyAlignment="1" applyBorder="1" applyFont="1">
      <alignment horizontal="left" readingOrder="0"/>
    </xf>
    <xf borderId="8" fillId="0" fontId="21" numFmtId="0" xfId="0" applyAlignment="1" applyBorder="1" applyFont="1">
      <alignment horizontal="center" readingOrder="0"/>
    </xf>
    <xf borderId="0" fillId="0" fontId="20" numFmtId="0" xfId="0" applyAlignment="1" applyFont="1">
      <alignment horizontal="left" readingOrder="0"/>
    </xf>
    <xf borderId="0" fillId="0" fontId="21" numFmtId="0" xfId="0" applyAlignment="1" applyFont="1">
      <alignment horizontal="center" readingOrder="0"/>
    </xf>
    <xf borderId="0" fillId="0" fontId="5" numFmtId="3" xfId="0" applyAlignment="1" applyFont="1" applyNumberFormat="1">
      <alignment readingOrder="0"/>
    </xf>
    <xf borderId="0" fillId="0" fontId="5" numFmtId="0" xfId="0" applyAlignment="1" applyFont="1">
      <alignment horizontal="right" readingOrder="0"/>
    </xf>
    <xf borderId="0" fillId="0" fontId="5" numFmtId="0" xfId="0" applyAlignment="1" applyFont="1">
      <alignment horizontal="right"/>
    </xf>
    <xf borderId="0" fillId="0" fontId="21" numFmtId="167" xfId="0" applyAlignment="1" applyFont="1" applyNumberFormat="1">
      <alignment horizontal="center" readingOrder="0"/>
    </xf>
    <xf borderId="0" fillId="0" fontId="5" numFmtId="169" xfId="0" applyAlignment="1" applyFont="1" applyNumberFormat="1">
      <alignment readingOrder="0"/>
    </xf>
    <xf borderId="0" fillId="3" fontId="19" numFmtId="165" xfId="0" applyAlignment="1" applyFont="1" applyNumberFormat="1">
      <alignment horizontal="right" readingOrder="0"/>
    </xf>
    <xf borderId="7" fillId="0" fontId="5" numFmtId="0" xfId="0" applyAlignment="1" applyBorder="1" applyFont="1">
      <alignment readingOrder="0"/>
    </xf>
    <xf borderId="0" fillId="0" fontId="11" numFmtId="0" xfId="0" applyAlignment="1" applyFont="1">
      <alignment shrinkToFit="0" vertical="bottom" wrapText="0"/>
    </xf>
    <xf borderId="0" fillId="0" fontId="22" numFmtId="0" xfId="0" applyAlignment="1" applyFont="1">
      <alignment horizontal="center" readingOrder="0" shrinkToFit="0" vertical="bottom" wrapText="0"/>
    </xf>
    <xf borderId="0" fillId="0" fontId="23" numFmtId="0" xfId="0" applyAlignment="1" applyFont="1">
      <alignment horizontal="center" readingOrder="0" shrinkToFit="0" vertical="bottom" wrapText="0"/>
    </xf>
    <xf borderId="3" fillId="0" fontId="23" numFmtId="0" xfId="0" applyAlignment="1" applyBorder="1" applyFont="1">
      <alignment horizontal="center" readingOrder="0" shrinkToFit="0" vertical="bottom" wrapText="0"/>
    </xf>
    <xf borderId="0" fillId="0" fontId="11" numFmtId="170" xfId="0" applyAlignment="1" applyFont="1" applyNumberFormat="1">
      <alignment horizontal="right" readingOrder="0" shrinkToFit="0" vertical="bottom" wrapText="0"/>
    </xf>
    <xf borderId="4" fillId="0" fontId="11" numFmtId="170" xfId="0" applyAlignment="1" applyBorder="1" applyFont="1" applyNumberFormat="1">
      <alignment horizontal="right" readingOrder="0" shrinkToFit="0" vertical="bottom" wrapText="0"/>
    </xf>
    <xf borderId="4" fillId="5" fontId="11" numFmtId="170" xfId="0" applyAlignment="1" applyBorder="1" applyFill="1" applyFont="1" applyNumberFormat="1">
      <alignment horizontal="right" readingOrder="0" shrinkToFit="0" vertical="bottom" wrapText="0"/>
    </xf>
    <xf borderId="8" fillId="0" fontId="11" numFmtId="170" xfId="0" applyAlignment="1" applyBorder="1" applyFont="1" applyNumberFormat="1">
      <alignment horizontal="right" readingOrder="0" shrinkToFit="0" vertical="bottom" wrapText="0"/>
    </xf>
    <xf borderId="8" fillId="5" fontId="11" numFmtId="170" xfId="0" applyAlignment="1" applyBorder="1" applyFont="1" applyNumberFormat="1">
      <alignment horizontal="right" readingOrder="0" shrinkToFit="0" vertical="bottom" wrapText="0"/>
    </xf>
    <xf borderId="0" fillId="0" fontId="24" numFmtId="0" xfId="0" applyAlignment="1" applyFont="1">
      <alignment readingOrder="0" shrinkToFit="0" vertical="bottom" wrapText="0"/>
    </xf>
    <xf borderId="0" fillId="6" fontId="9" numFmtId="0" xfId="0" applyAlignment="1" applyFill="1" applyFont="1">
      <alignment readingOrder="0"/>
    </xf>
    <xf borderId="5" fillId="0" fontId="25" numFmtId="0" xfId="0" applyAlignment="1" applyBorder="1" applyFont="1">
      <alignment readingOrder="0" vertical="bottom"/>
    </xf>
    <xf borderId="5" fillId="0" fontId="26" numFmtId="165" xfId="0" applyAlignment="1" applyBorder="1" applyFont="1" applyNumberFormat="1">
      <alignment readingOrder="0" vertical="bottom"/>
    </xf>
    <xf borderId="0" fillId="0" fontId="10" numFmtId="0" xfId="0" applyAlignment="1" applyFont="1">
      <alignment horizontal="center" readingOrder="0"/>
    </xf>
    <xf borderId="0" fillId="0" fontId="27" numFmtId="0" xfId="0" applyAlignment="1" applyFont="1">
      <alignment horizontal="right" vertical="bottom"/>
    </xf>
    <xf borderId="0" fillId="0" fontId="26" numFmtId="165" xfId="0" applyAlignment="1" applyFont="1" applyNumberFormat="1">
      <alignment horizontal="right" vertical="bottom"/>
    </xf>
    <xf borderId="0" fillId="0" fontId="10" numFmtId="2" xfId="0" applyAlignment="1" applyFont="1" applyNumberFormat="1">
      <alignment horizontal="center" readingOrder="0"/>
    </xf>
    <xf borderId="0" fillId="0" fontId="5" numFmtId="2" xfId="0" applyAlignment="1" applyFont="1" applyNumberFormat="1">
      <alignment horizontal="right" readingOrder="0"/>
    </xf>
    <xf borderId="0" fillId="0" fontId="5" numFmtId="2" xfId="0" applyAlignment="1" applyFont="1" applyNumberFormat="1">
      <alignment readingOrder="0"/>
    </xf>
    <xf borderId="2" fillId="2" fontId="28" numFmtId="0" xfId="0" applyAlignment="1" applyBorder="1" applyFont="1">
      <alignment horizontal="center" readingOrder="0"/>
    </xf>
    <xf borderId="2" fillId="0" fontId="5" numFmtId="0" xfId="0" applyAlignment="1" applyBorder="1" applyFont="1">
      <alignment horizontal="center" readingOrder="0"/>
    </xf>
    <xf borderId="5" fillId="6" fontId="9" numFmtId="0" xfId="0" applyAlignment="1" applyBorder="1" applyFont="1">
      <alignment readingOrder="0"/>
    </xf>
    <xf borderId="8" fillId="0" fontId="0" numFmtId="0" xfId="0" applyAlignment="1" applyBorder="1" applyFont="1">
      <alignment horizontal="center" readingOrder="0"/>
    </xf>
    <xf borderId="5" fillId="0" fontId="9" numFmtId="0" xfId="0" applyAlignment="1" applyBorder="1" applyFont="1">
      <alignment readingOrder="0"/>
    </xf>
    <xf borderId="8" fillId="0" fontId="9" numFmtId="0" xfId="0" applyAlignment="1" applyBorder="1" applyFont="1">
      <alignment readingOrder="0"/>
    </xf>
    <xf borderId="2" fillId="0" fontId="29" numFmtId="0" xfId="0" applyAlignment="1" applyBorder="1" applyFont="1">
      <alignment horizontal="center" readingOrder="0"/>
    </xf>
    <xf borderId="2" fillId="0" fontId="0" numFmtId="0" xfId="0" applyAlignment="1" applyBorder="1" applyFont="1">
      <alignment horizontal="center" readingOrder="0"/>
    </xf>
    <xf borderId="2" fillId="0" fontId="9" numFmtId="0" xfId="0" applyAlignment="1" applyBorder="1" applyFont="1">
      <alignment readingOrder="0"/>
    </xf>
    <xf borderId="2" fillId="0" fontId="5" numFmtId="0" xfId="0" applyAlignment="1" applyBorder="1" applyFont="1">
      <alignment readingOrder="0"/>
    </xf>
    <xf borderId="6" fillId="6" fontId="9" numFmtId="0" xfId="0" applyAlignment="1" applyBorder="1" applyFont="1">
      <alignment readingOrder="0"/>
    </xf>
    <xf borderId="10" fillId="6" fontId="9" numFmtId="0" xfId="0" applyAlignment="1" applyBorder="1" applyFont="1">
      <alignment readingOrder="0"/>
    </xf>
    <xf borderId="4" fillId="0" fontId="5" numFmtId="0" xfId="0" applyBorder="1" applyFont="1"/>
    <xf borderId="0" fillId="6" fontId="5" numFmtId="0" xfId="0" applyAlignment="1" applyFont="1">
      <alignment readingOrder="0"/>
    </xf>
    <xf borderId="5" fillId="6" fontId="5" numFmtId="0" xfId="0" applyAlignment="1" applyBorder="1" applyFont="1">
      <alignment readingOrder="0"/>
    </xf>
    <xf borderId="8" fillId="0" fontId="5" numFmtId="0" xfId="0" applyBorder="1" applyFont="1"/>
    <xf borderId="9" fillId="0" fontId="7" numFmtId="0" xfId="0" applyAlignment="1" applyBorder="1" applyFont="1">
      <alignment horizontal="right" readingOrder="0"/>
    </xf>
    <xf borderId="3" fillId="0" fontId="5" numFmtId="0" xfId="0" applyAlignment="1" applyBorder="1" applyFont="1">
      <alignment horizontal="center" readingOrder="0"/>
    </xf>
    <xf borderId="9" fillId="0" fontId="5" numFmtId="0" xfId="0" applyAlignment="1" applyBorder="1" applyFont="1">
      <alignment horizontal="center" readingOrder="0"/>
    </xf>
    <xf borderId="1" fillId="0" fontId="5" numFmtId="0" xfId="0" applyAlignment="1" applyBorder="1" applyFont="1">
      <alignment horizontal="center" readingOrder="0"/>
    </xf>
    <xf borderId="12" fillId="0" fontId="5" numFmtId="0" xfId="0" applyAlignment="1" applyBorder="1" applyFont="1">
      <alignment horizontal="center" readingOrder="0"/>
    </xf>
    <xf borderId="13" fillId="0" fontId="5" numFmtId="0" xfId="0" applyAlignment="1" applyBorder="1" applyFont="1">
      <alignment horizontal="center" readingOrder="0"/>
    </xf>
    <xf borderId="10" fillId="0" fontId="5" numFmtId="0" xfId="0" applyAlignment="1" applyBorder="1" applyFont="1">
      <alignment horizontal="center" readingOrder="0"/>
    </xf>
    <xf borderId="9" fillId="0" fontId="5" numFmtId="0" xfId="0" applyAlignment="1" applyBorder="1" applyFont="1">
      <alignment readingOrder="0"/>
    </xf>
    <xf borderId="14" fillId="6" fontId="9" numFmtId="0" xfId="0" applyAlignment="1" applyBorder="1" applyFont="1">
      <alignment readingOrder="0"/>
    </xf>
    <xf borderId="13" fillId="0" fontId="29" numFmtId="0" xfId="0" applyAlignment="1" applyBorder="1" applyFont="1">
      <alignment horizontal="center" readingOrder="0"/>
    </xf>
    <xf borderId="13" fillId="0" fontId="0" numFmtId="0" xfId="0" applyAlignment="1" applyBorder="1" applyFont="1">
      <alignment horizontal="center" readingOrder="0"/>
    </xf>
    <xf borderId="13" fillId="0" fontId="5" numFmtId="0" xfId="0" applyAlignment="1" applyBorder="1" applyFont="1">
      <alignment readingOrder="0"/>
    </xf>
    <xf borderId="5" fillId="0" fontId="5" numFmtId="0" xfId="0" applyAlignment="1" applyBorder="1" applyFont="1">
      <alignment readingOrder="0"/>
    </xf>
    <xf borderId="13" fillId="0" fontId="9" numFmtId="0" xfId="0" applyAlignment="1" applyBorder="1" applyFont="1">
      <alignment readingOrder="0"/>
    </xf>
    <xf borderId="13" fillId="0" fontId="5" numFmtId="0" xfId="0" applyBorder="1" applyFont="1"/>
    <xf borderId="2" fillId="2" fontId="7" numFmtId="0" xfId="0" applyAlignment="1" applyBorder="1" applyFont="1">
      <alignment readingOrder="0"/>
    </xf>
    <xf borderId="0" fillId="0" fontId="0" numFmtId="0" xfId="0" applyAlignment="1" applyFont="1">
      <alignment horizontal="left" readingOrder="0"/>
    </xf>
    <xf borderId="4" fillId="0" fontId="0" numFmtId="0" xfId="0" applyAlignment="1" applyBorder="1" applyFont="1">
      <alignment horizontal="left" readingOrder="0"/>
    </xf>
    <xf borderId="0" fillId="0" fontId="5" numFmtId="3" xfId="0" applyFont="1" applyNumberFormat="1"/>
    <xf borderId="9" fillId="0" fontId="5" numFmtId="3" xfId="0" applyAlignment="1" applyBorder="1" applyFont="1" applyNumberFormat="1">
      <alignment readingOrder="0"/>
    </xf>
    <xf borderId="6" fillId="0" fontId="0" numFmtId="0" xfId="0" applyAlignment="1" applyBorder="1" applyFont="1">
      <alignment horizontal="left" readingOrder="0"/>
    </xf>
    <xf borderId="14" fillId="0" fontId="5" numFmtId="0" xfId="0" applyAlignment="1" applyBorder="1" applyFont="1">
      <alignment readingOrder="0"/>
    </xf>
    <xf borderId="8" fillId="0" fontId="5" numFmtId="3" xfId="0" applyAlignment="1" applyBorder="1" applyFont="1" applyNumberFormat="1">
      <alignment readingOrder="0"/>
    </xf>
    <xf borderId="3" fillId="0" fontId="0" numFmtId="0" xfId="0" applyAlignment="1" applyBorder="1" applyFont="1">
      <alignment horizontal="left" readingOrder="0"/>
    </xf>
    <xf borderId="3" fillId="0" fontId="0" numFmtId="0" xfId="0" applyAlignment="1" applyBorder="1" applyFont="1">
      <alignment horizontal="center" readingOrder="0"/>
    </xf>
    <xf borderId="4" fillId="0" fontId="0" numFmtId="167" xfId="0" applyAlignment="1" applyBorder="1" applyFont="1" applyNumberFormat="1">
      <alignment horizontal="center" readingOrder="0"/>
    </xf>
    <xf borderId="8" fillId="0" fontId="0" numFmtId="0" xfId="0" applyAlignment="1" applyBorder="1" applyFont="1">
      <alignment horizontal="left" readingOrder="0"/>
    </xf>
    <xf borderId="8" fillId="0" fontId="0" numFmtId="167" xfId="0" applyAlignment="1" applyBorder="1" applyFont="1" applyNumberFormat="1">
      <alignment horizontal="center" readingOrder="0"/>
    </xf>
  </cellXfs>
  <cellStyles count="1">
    <cellStyle xfId="0" name="Normal" builtinId="0"/>
  </cellStyles>
  <dxfs count="2">
    <dxf>
      <font/>
      <fill>
        <patternFill patternType="solid">
          <fgColor rgb="FFF4C7C3"/>
          <bgColor rgb="FFF4C7C3"/>
        </patternFill>
      </fill>
      <border/>
    </dxf>
    <dxf>
      <font/>
      <fill>
        <patternFill patternType="solid">
          <fgColor rgb="FFB6D7A8"/>
          <bgColor rgb="FFB6D7A8"/>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0</xdr:rowOff>
    </xdr:from>
    <xdr:ext cx="1838325" cy="790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180975</xdr:colOff>
      <xdr:row>5</xdr:row>
      <xdr:rowOff>161925</xdr:rowOff>
    </xdr:from>
    <xdr:ext cx="1590675" cy="1590675"/>
    <xdr:pic>
      <xdr:nvPicPr>
        <xdr:cNvPr id="0" name="image2.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438150</xdr:colOff>
      <xdr:row>0</xdr:row>
      <xdr:rowOff>0</xdr:rowOff>
    </xdr:from>
    <xdr:ext cx="361950" cy="1905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885825</xdr:colOff>
      <xdr:row>0</xdr:row>
      <xdr:rowOff>0</xdr:rowOff>
    </xdr:from>
    <xdr:ext cx="352425" cy="1809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4" width="11.88"/>
    <col customWidth="1" min="5" max="5" width="8.88"/>
    <col customWidth="1" min="6" max="11" width="18.25"/>
  </cols>
  <sheetData>
    <row r="1">
      <c r="A1" s="1" t="s">
        <v>0</v>
      </c>
    </row>
    <row r="2">
      <c r="A2" s="2" t="s">
        <v>1</v>
      </c>
    </row>
    <row r="3">
      <c r="A3" s="3" t="s">
        <v>2</v>
      </c>
    </row>
    <row r="4">
      <c r="A4" s="3" t="s">
        <v>3</v>
      </c>
    </row>
    <row r="5">
      <c r="A5" s="4"/>
      <c r="B5" s="4"/>
      <c r="C5" s="4"/>
      <c r="D5" s="4"/>
      <c r="E5" s="4"/>
      <c r="F5" s="4"/>
      <c r="G5" s="4"/>
      <c r="H5" s="4"/>
      <c r="I5" s="4"/>
      <c r="J5" s="5"/>
      <c r="K5" s="5"/>
      <c r="L5" s="5"/>
    </row>
    <row r="6">
      <c r="A6" s="6" t="s">
        <v>4</v>
      </c>
    </row>
    <row r="7">
      <c r="A7" s="7" t="s">
        <v>5</v>
      </c>
      <c r="B7" s="7"/>
      <c r="C7" s="7"/>
      <c r="D7" s="7"/>
      <c r="E7" s="7"/>
      <c r="F7" s="7"/>
      <c r="G7" s="7"/>
      <c r="H7" s="7"/>
      <c r="I7" s="7"/>
      <c r="J7" s="7"/>
      <c r="K7" s="7"/>
      <c r="L7" s="7"/>
    </row>
    <row r="8">
      <c r="A8" s="8" t="s">
        <v>6</v>
      </c>
    </row>
    <row r="9">
      <c r="A9" s="8" t="s">
        <v>7</v>
      </c>
    </row>
    <row r="10">
      <c r="A10" s="8" t="s">
        <v>8</v>
      </c>
    </row>
    <row r="11">
      <c r="A11" s="8" t="s">
        <v>9</v>
      </c>
    </row>
    <row r="14">
      <c r="A14" s="9" t="s">
        <v>10</v>
      </c>
      <c r="B14" s="10" t="s">
        <v>11</v>
      </c>
      <c r="C14" s="10" t="s">
        <v>12</v>
      </c>
      <c r="D14" s="10" t="s">
        <v>13</v>
      </c>
      <c r="F14" s="11" t="s">
        <v>14</v>
      </c>
      <c r="G14" s="11" t="s">
        <v>15</v>
      </c>
      <c r="H14" s="11" t="s">
        <v>16</v>
      </c>
      <c r="J14" s="11" t="s">
        <v>17</v>
      </c>
      <c r="K14" s="11" t="s">
        <v>18</v>
      </c>
      <c r="L14" s="11" t="s">
        <v>19</v>
      </c>
    </row>
    <row r="15">
      <c r="A15" s="12" t="s">
        <v>20</v>
      </c>
      <c r="B15" s="13">
        <v>46143.0</v>
      </c>
      <c r="C15" s="14"/>
      <c r="D15" s="15"/>
      <c r="F15" s="16" t="s">
        <v>21</v>
      </c>
      <c r="G15" s="17"/>
      <c r="H15" s="18" t="s">
        <v>22</v>
      </c>
      <c r="J15" s="8" t="s">
        <v>23</v>
      </c>
      <c r="K15" s="19">
        <v>0.45</v>
      </c>
      <c r="L15" s="20">
        <f t="shared" ref="L15:L19" si="1">K15*$D$58</f>
        <v>0</v>
      </c>
      <c r="N15" s="21"/>
    </row>
    <row r="16">
      <c r="A16" s="12" t="s">
        <v>24</v>
      </c>
      <c r="B16" s="22">
        <v>46266.0</v>
      </c>
      <c r="C16" s="23"/>
      <c r="D16" s="24"/>
      <c r="F16" s="16" t="s">
        <v>25</v>
      </c>
      <c r="G16" s="17"/>
      <c r="H16" s="18" t="s">
        <v>22</v>
      </c>
      <c r="J16" s="8" t="s">
        <v>26</v>
      </c>
      <c r="K16" s="19">
        <v>0.25</v>
      </c>
      <c r="L16" s="20">
        <f t="shared" si="1"/>
        <v>0</v>
      </c>
      <c r="N16" s="21"/>
    </row>
    <row r="17">
      <c r="A17" s="12" t="s">
        <v>27</v>
      </c>
      <c r="B17" s="22">
        <v>46357.0</v>
      </c>
      <c r="C17" s="23"/>
      <c r="D17" s="24"/>
      <c r="F17" s="16" t="s">
        <v>28</v>
      </c>
      <c r="G17" s="17"/>
      <c r="H17" s="18" t="s">
        <v>22</v>
      </c>
      <c r="J17" s="8" t="s">
        <v>29</v>
      </c>
      <c r="K17" s="19">
        <v>0.15</v>
      </c>
      <c r="L17" s="20">
        <f t="shared" si="1"/>
        <v>0</v>
      </c>
      <c r="N17" s="21"/>
    </row>
    <row r="18">
      <c r="A18" s="12" t="s">
        <v>30</v>
      </c>
      <c r="B18" s="22">
        <v>46357.0</v>
      </c>
      <c r="C18" s="23"/>
      <c r="D18" s="24"/>
      <c r="E18" s="8"/>
      <c r="F18" s="16" t="s">
        <v>31</v>
      </c>
      <c r="G18" s="17"/>
      <c r="H18" s="18" t="s">
        <v>22</v>
      </c>
      <c r="J18" s="8" t="s">
        <v>32</v>
      </c>
      <c r="K18" s="19">
        <v>0.1</v>
      </c>
      <c r="L18" s="20">
        <f t="shared" si="1"/>
        <v>0</v>
      </c>
      <c r="N18" s="21"/>
    </row>
    <row r="19">
      <c r="A19" s="12" t="s">
        <v>33</v>
      </c>
      <c r="B19" s="25" t="s">
        <v>34</v>
      </c>
      <c r="C19" s="23"/>
      <c r="D19" s="24"/>
      <c r="E19" s="8"/>
      <c r="F19" s="16" t="s">
        <v>35</v>
      </c>
      <c r="G19" s="17"/>
      <c r="H19" s="18" t="s">
        <v>22</v>
      </c>
      <c r="J19" s="8" t="s">
        <v>36</v>
      </c>
      <c r="K19" s="19">
        <v>0.05</v>
      </c>
      <c r="L19" s="20">
        <f t="shared" si="1"/>
        <v>0</v>
      </c>
      <c r="N19" s="21"/>
    </row>
    <row r="20">
      <c r="A20" s="12" t="s">
        <v>37</v>
      </c>
      <c r="B20" s="25" t="s">
        <v>34</v>
      </c>
      <c r="C20" s="23"/>
      <c r="D20" s="24"/>
      <c r="F20" s="16" t="s">
        <v>38</v>
      </c>
      <c r="G20" s="17"/>
      <c r="H20" s="18" t="s">
        <v>22</v>
      </c>
      <c r="J20" s="8"/>
      <c r="K20" s="8"/>
      <c r="L20" s="8"/>
      <c r="N20" s="21"/>
    </row>
    <row r="21">
      <c r="A21" s="12" t="s">
        <v>39</v>
      </c>
      <c r="B21" s="25" t="s">
        <v>40</v>
      </c>
      <c r="C21" s="23"/>
      <c r="D21" s="24"/>
      <c r="F21" s="16" t="s">
        <v>41</v>
      </c>
      <c r="G21" s="17"/>
      <c r="H21" s="18" t="s">
        <v>22</v>
      </c>
      <c r="J21" s="8"/>
      <c r="K21" s="8"/>
      <c r="L21" s="8"/>
      <c r="N21" s="21"/>
    </row>
    <row r="22">
      <c r="A22" s="12" t="s">
        <v>42</v>
      </c>
      <c r="B22" s="25" t="s">
        <v>43</v>
      </c>
      <c r="C22" s="23"/>
      <c r="D22" s="24"/>
      <c r="F22" s="16" t="s">
        <v>44</v>
      </c>
      <c r="G22" s="17"/>
      <c r="H22" s="18" t="s">
        <v>22</v>
      </c>
      <c r="J22" s="26" t="s">
        <v>45</v>
      </c>
      <c r="K22" s="27"/>
      <c r="L22" s="8"/>
      <c r="N22" s="21"/>
    </row>
    <row r="23">
      <c r="A23" s="12" t="s">
        <v>46</v>
      </c>
      <c r="B23" s="25" t="s">
        <v>47</v>
      </c>
      <c r="C23" s="23"/>
      <c r="D23" s="24"/>
      <c r="F23" s="16" t="s">
        <v>48</v>
      </c>
      <c r="G23" s="17"/>
      <c r="H23" s="18" t="s">
        <v>22</v>
      </c>
      <c r="J23" s="28">
        <v>1.0</v>
      </c>
      <c r="K23" s="28"/>
      <c r="M23" s="29"/>
      <c r="N23" s="21"/>
    </row>
    <row r="24">
      <c r="A24" s="12" t="s">
        <v>49</v>
      </c>
      <c r="B24" s="25" t="s">
        <v>50</v>
      </c>
      <c r="C24" s="23"/>
      <c r="D24" s="24"/>
      <c r="F24" s="16" t="s">
        <v>51</v>
      </c>
      <c r="G24" s="17"/>
      <c r="H24" s="18" t="s">
        <v>22</v>
      </c>
      <c r="J24" s="30">
        <v>2.0</v>
      </c>
      <c r="K24" s="30"/>
      <c r="M24" s="29"/>
      <c r="N24" s="21"/>
    </row>
    <row r="25">
      <c r="A25" s="12" t="s">
        <v>52</v>
      </c>
      <c r="B25" s="25" t="s">
        <v>50</v>
      </c>
      <c r="C25" s="23"/>
      <c r="D25" s="24"/>
      <c r="F25" s="16" t="s">
        <v>53</v>
      </c>
      <c r="G25" s="17"/>
      <c r="H25" s="18" t="s">
        <v>22</v>
      </c>
      <c r="J25" s="28">
        <v>3.0</v>
      </c>
      <c r="K25" s="28"/>
      <c r="M25" s="29"/>
      <c r="N25" s="21"/>
    </row>
    <row r="26">
      <c r="A26" s="12" t="s">
        <v>54</v>
      </c>
      <c r="B26" s="25" t="s">
        <v>55</v>
      </c>
      <c r="C26" s="23"/>
      <c r="D26" s="24"/>
      <c r="F26" s="16" t="s">
        <v>56</v>
      </c>
      <c r="G26" s="17"/>
      <c r="H26" s="18" t="s">
        <v>22</v>
      </c>
      <c r="J26" s="30">
        <v>4.0</v>
      </c>
      <c r="K26" s="30"/>
      <c r="M26" s="29"/>
      <c r="N26" s="21"/>
    </row>
    <row r="27">
      <c r="A27" s="12" t="s">
        <v>57</v>
      </c>
      <c r="B27" s="25" t="s">
        <v>58</v>
      </c>
      <c r="C27" s="23"/>
      <c r="D27" s="24"/>
      <c r="F27" s="16" t="s">
        <v>59</v>
      </c>
      <c r="G27" s="17"/>
      <c r="H27" s="18" t="s">
        <v>22</v>
      </c>
      <c r="J27" s="28">
        <v>5.0</v>
      </c>
      <c r="K27" s="28"/>
      <c r="M27" s="29"/>
      <c r="N27" s="21"/>
    </row>
    <row r="28">
      <c r="A28" s="12" t="s">
        <v>60</v>
      </c>
      <c r="B28" s="25" t="s">
        <v>58</v>
      </c>
      <c r="C28" s="23"/>
      <c r="D28" s="24"/>
      <c r="F28" s="16" t="s">
        <v>61</v>
      </c>
      <c r="G28" s="17"/>
      <c r="H28" s="18" t="s">
        <v>22</v>
      </c>
      <c r="J28" s="31"/>
      <c r="K28" s="31"/>
      <c r="M28" s="29"/>
      <c r="N28" s="21"/>
    </row>
    <row r="29">
      <c r="A29" s="12" t="s">
        <v>62</v>
      </c>
      <c r="B29" s="25" t="s">
        <v>58</v>
      </c>
      <c r="C29" s="23"/>
      <c r="D29" s="24"/>
      <c r="F29" s="16" t="s">
        <v>63</v>
      </c>
      <c r="G29" s="17"/>
      <c r="H29" s="18" t="s">
        <v>22</v>
      </c>
      <c r="J29" s="31"/>
      <c r="K29" s="31"/>
      <c r="N29" s="21"/>
    </row>
    <row r="30">
      <c r="A30" s="12" t="s">
        <v>64</v>
      </c>
      <c r="B30" s="25" t="s">
        <v>65</v>
      </c>
      <c r="C30" s="23"/>
      <c r="D30" s="24"/>
      <c r="F30" s="16" t="s">
        <v>66</v>
      </c>
      <c r="G30" s="17"/>
      <c r="H30" s="18" t="s">
        <v>22</v>
      </c>
      <c r="J30" s="31"/>
      <c r="K30" s="31"/>
      <c r="N30" s="21"/>
    </row>
    <row r="31">
      <c r="A31" s="12" t="s">
        <v>67</v>
      </c>
      <c r="B31" s="25" t="s">
        <v>65</v>
      </c>
      <c r="C31" s="23"/>
      <c r="D31" s="24"/>
      <c r="F31" s="16" t="s">
        <v>68</v>
      </c>
      <c r="G31" s="17"/>
      <c r="H31" s="18" t="s">
        <v>22</v>
      </c>
      <c r="K31" s="8"/>
      <c r="M31" s="32"/>
      <c r="N31" s="21"/>
    </row>
    <row r="32">
      <c r="A32" s="12" t="s">
        <v>69</v>
      </c>
      <c r="B32" s="25" t="s">
        <v>65</v>
      </c>
      <c r="C32" s="23"/>
      <c r="D32" s="24"/>
      <c r="F32" s="16" t="s">
        <v>70</v>
      </c>
      <c r="G32" s="33"/>
      <c r="H32" s="18" t="s">
        <v>22</v>
      </c>
      <c r="I32" s="8"/>
      <c r="J32" s="8"/>
      <c r="K32" s="8"/>
      <c r="L32" s="8"/>
      <c r="N32" s="21"/>
    </row>
    <row r="33">
      <c r="A33" s="12" t="s">
        <v>71</v>
      </c>
      <c r="B33" s="25" t="s">
        <v>72</v>
      </c>
      <c r="C33" s="23"/>
      <c r="D33" s="24"/>
      <c r="F33" s="34" t="s">
        <v>73</v>
      </c>
      <c r="G33" s="35">
        <f>SUM(G15:G32)</f>
        <v>0</v>
      </c>
      <c r="H33" s="36"/>
      <c r="I33" s="8"/>
      <c r="J33" s="8"/>
      <c r="K33" s="8"/>
      <c r="L33" s="8"/>
      <c r="N33" s="21"/>
    </row>
    <row r="34">
      <c r="A34" s="12" t="s">
        <v>74</v>
      </c>
      <c r="B34" s="25" t="s">
        <v>75</v>
      </c>
      <c r="C34" s="23"/>
      <c r="D34" s="24"/>
      <c r="F34" s="34"/>
      <c r="G34" s="37"/>
      <c r="H34" s="8"/>
      <c r="I34" s="8"/>
      <c r="J34" s="8"/>
      <c r="K34" s="8"/>
      <c r="L34" s="8"/>
      <c r="N34" s="21"/>
    </row>
    <row r="35">
      <c r="A35" s="12" t="s">
        <v>76</v>
      </c>
      <c r="B35" s="25" t="s">
        <v>75</v>
      </c>
      <c r="C35" s="23"/>
      <c r="D35" s="24"/>
      <c r="K35" s="8"/>
      <c r="L35" s="8"/>
      <c r="N35" s="21"/>
    </row>
    <row r="36">
      <c r="A36" s="8" t="s">
        <v>77</v>
      </c>
      <c r="B36" s="25" t="s">
        <v>75</v>
      </c>
      <c r="C36" s="23"/>
      <c r="D36" s="24"/>
      <c r="F36" s="38" t="s">
        <v>21</v>
      </c>
      <c r="G36" s="38" t="s">
        <v>25</v>
      </c>
      <c r="H36" s="38" t="s">
        <v>28</v>
      </c>
      <c r="I36" s="38" t="s">
        <v>31</v>
      </c>
      <c r="J36" s="38" t="s">
        <v>35</v>
      </c>
      <c r="K36" s="38" t="s">
        <v>38</v>
      </c>
      <c r="N36" s="21"/>
    </row>
    <row r="37">
      <c r="A37" s="12" t="s">
        <v>78</v>
      </c>
      <c r="B37" s="25" t="s">
        <v>79</v>
      </c>
      <c r="C37" s="23"/>
      <c r="D37" s="24"/>
      <c r="F37" s="12" t="str">
        <f t="shared" ref="F37:F44" si="2">INDEX($A$15:$A$57,SMALL(IF($F$36=$C$15:$C$57,row($C$15:$C$57)-row($C$15)+1),row(1:1)))</f>
        <v>#NUM!</v>
      </c>
      <c r="G37" s="12" t="str">
        <f t="shared" ref="G37:G44" si="3">INDEX($A$15:$A$57,SMALL(IF($G$36=$C$15:$C$57,row($C$15:$C$57)-row($C$15)+1),row(1:1)))</f>
        <v>#NUM!</v>
      </c>
      <c r="H37" s="12" t="str">
        <f t="shared" ref="H37:H44" si="4">INDEX($A$15:$A$57,SMALL(IF($H$36=$C$15:$C$57,row($C$15:$C$57)-row($C$15)+1),row(1:1)))</f>
        <v>#NUM!</v>
      </c>
      <c r="I37" s="12" t="str">
        <f t="shared" ref="I37:I44" si="5">INDEX($A$15:$A$57,SMALL(IF($I$36=$C$15:$C$57,row($C$15:$C$57)-row($C$15)+1),row(1:1)))</f>
        <v>#NUM!</v>
      </c>
      <c r="J37" s="12" t="str">
        <f t="shared" ref="J37:J44" si="6">INDEX($A$15:$A$57,SMALL(IF($J$36=$C$15:$C$57,row($C$15:$C$57)-row($C$15)+1),row(1:1)))</f>
        <v>#NUM!</v>
      </c>
      <c r="K37" s="12" t="str">
        <f t="shared" ref="K37:K44" si="7">INDEX($A$15:$A$57,SMALL(IF($K$36=$C$15:$C$57,row($C$15:$C$57)-row($C$15)+1),row(1:1)))</f>
        <v>#NUM!</v>
      </c>
      <c r="L37" s="8"/>
    </row>
    <row r="38">
      <c r="A38" s="12" t="s">
        <v>80</v>
      </c>
      <c r="B38" s="25" t="s">
        <v>81</v>
      </c>
      <c r="C38" s="23"/>
      <c r="D38" s="24"/>
      <c r="F38" s="12" t="str">
        <f t="shared" si="2"/>
        <v>#NUM!</v>
      </c>
      <c r="G38" s="12" t="str">
        <f t="shared" si="3"/>
        <v>#NUM!</v>
      </c>
      <c r="H38" s="12" t="str">
        <f t="shared" si="4"/>
        <v>#NUM!</v>
      </c>
      <c r="I38" s="12" t="str">
        <f t="shared" si="5"/>
        <v>#NUM!</v>
      </c>
      <c r="J38" s="12" t="str">
        <f t="shared" si="6"/>
        <v>#NUM!</v>
      </c>
      <c r="K38" s="12" t="str">
        <f t="shared" si="7"/>
        <v>#NUM!</v>
      </c>
    </row>
    <row r="39">
      <c r="A39" s="12" t="s">
        <v>82</v>
      </c>
      <c r="B39" s="25" t="s">
        <v>81</v>
      </c>
      <c r="C39" s="23"/>
      <c r="D39" s="24"/>
      <c r="F39" s="12" t="str">
        <f t="shared" si="2"/>
        <v>#NUM!</v>
      </c>
      <c r="G39" s="12" t="str">
        <f t="shared" si="3"/>
        <v>#NUM!</v>
      </c>
      <c r="H39" s="12" t="str">
        <f t="shared" si="4"/>
        <v>#NUM!</v>
      </c>
      <c r="I39" s="12" t="str">
        <f t="shared" si="5"/>
        <v>#NUM!</v>
      </c>
      <c r="J39" s="12" t="str">
        <f t="shared" si="6"/>
        <v>#NUM!</v>
      </c>
      <c r="K39" s="12" t="str">
        <f t="shared" si="7"/>
        <v>#NUM!</v>
      </c>
    </row>
    <row r="40">
      <c r="A40" s="12" t="s">
        <v>83</v>
      </c>
      <c r="B40" s="25" t="s">
        <v>81</v>
      </c>
      <c r="C40" s="23"/>
      <c r="D40" s="24"/>
      <c r="F40" s="12" t="str">
        <f t="shared" si="2"/>
        <v>#NUM!</v>
      </c>
      <c r="G40" s="12" t="str">
        <f t="shared" si="3"/>
        <v>#NUM!</v>
      </c>
      <c r="H40" s="12" t="str">
        <f t="shared" si="4"/>
        <v>#NUM!</v>
      </c>
      <c r="I40" s="12" t="str">
        <f t="shared" si="5"/>
        <v>#NUM!</v>
      </c>
      <c r="J40" s="12" t="str">
        <f t="shared" si="6"/>
        <v>#NUM!</v>
      </c>
      <c r="K40" s="12" t="str">
        <f t="shared" si="7"/>
        <v>#NUM!</v>
      </c>
    </row>
    <row r="41">
      <c r="A41" s="12" t="s">
        <v>84</v>
      </c>
      <c r="B41" s="25" t="s">
        <v>85</v>
      </c>
      <c r="C41" s="23"/>
      <c r="D41" s="24"/>
      <c r="F41" s="12" t="str">
        <f t="shared" si="2"/>
        <v>#NUM!</v>
      </c>
      <c r="G41" s="12" t="str">
        <f t="shared" si="3"/>
        <v>#NUM!</v>
      </c>
      <c r="H41" s="12" t="str">
        <f t="shared" si="4"/>
        <v>#NUM!</v>
      </c>
      <c r="I41" s="12" t="str">
        <f t="shared" si="5"/>
        <v>#NUM!</v>
      </c>
      <c r="J41" s="12" t="str">
        <f t="shared" si="6"/>
        <v>#NUM!</v>
      </c>
      <c r="K41" s="12" t="str">
        <f t="shared" si="7"/>
        <v>#NUM!</v>
      </c>
    </row>
    <row r="42">
      <c r="A42" s="12" t="s">
        <v>86</v>
      </c>
      <c r="B42" s="25" t="s">
        <v>85</v>
      </c>
      <c r="C42" s="23"/>
      <c r="D42" s="24"/>
      <c r="F42" s="12" t="str">
        <f t="shared" si="2"/>
        <v>#NUM!</v>
      </c>
      <c r="G42" s="12" t="str">
        <f t="shared" si="3"/>
        <v>#NUM!</v>
      </c>
      <c r="H42" s="12" t="str">
        <f t="shared" si="4"/>
        <v>#NUM!</v>
      </c>
      <c r="I42" s="12" t="str">
        <f t="shared" si="5"/>
        <v>#NUM!</v>
      </c>
      <c r="J42" s="12" t="str">
        <f t="shared" si="6"/>
        <v>#NUM!</v>
      </c>
      <c r="K42" s="12" t="str">
        <f t="shared" si="7"/>
        <v>#NUM!</v>
      </c>
    </row>
    <row r="43">
      <c r="A43" s="12" t="s">
        <v>87</v>
      </c>
      <c r="B43" s="25" t="s">
        <v>85</v>
      </c>
      <c r="C43" s="23"/>
      <c r="D43" s="24"/>
      <c r="F43" s="12" t="str">
        <f t="shared" si="2"/>
        <v>#NUM!</v>
      </c>
      <c r="G43" s="12" t="str">
        <f t="shared" si="3"/>
        <v>#NUM!</v>
      </c>
      <c r="H43" s="12" t="str">
        <f t="shared" si="4"/>
        <v>#NUM!</v>
      </c>
      <c r="I43" s="12" t="str">
        <f t="shared" si="5"/>
        <v>#NUM!</v>
      </c>
      <c r="J43" s="12" t="str">
        <f t="shared" si="6"/>
        <v>#NUM!</v>
      </c>
      <c r="K43" s="12" t="str">
        <f t="shared" si="7"/>
        <v>#NUM!</v>
      </c>
    </row>
    <row r="44">
      <c r="A44" s="12" t="s">
        <v>88</v>
      </c>
      <c r="B44" s="25" t="s">
        <v>85</v>
      </c>
      <c r="C44" s="23"/>
      <c r="D44" s="24"/>
      <c r="F44" s="12" t="str">
        <f t="shared" si="2"/>
        <v>#NUM!</v>
      </c>
      <c r="G44" s="12" t="str">
        <f t="shared" si="3"/>
        <v>#NUM!</v>
      </c>
      <c r="H44" s="12" t="str">
        <f t="shared" si="4"/>
        <v>#NUM!</v>
      </c>
      <c r="I44" s="12" t="str">
        <f t="shared" si="5"/>
        <v>#NUM!</v>
      </c>
      <c r="J44" s="12" t="str">
        <f t="shared" si="6"/>
        <v>#NUM!</v>
      </c>
      <c r="K44" s="12" t="str">
        <f t="shared" si="7"/>
        <v>#NUM!</v>
      </c>
    </row>
    <row r="45">
      <c r="A45" s="12" t="s">
        <v>89</v>
      </c>
      <c r="B45" s="25" t="s">
        <v>85</v>
      </c>
      <c r="C45" s="23"/>
      <c r="D45" s="24"/>
      <c r="F45" s="12"/>
      <c r="G45" s="12"/>
      <c r="H45" s="12"/>
      <c r="I45" s="12"/>
      <c r="J45" s="12"/>
      <c r="K45" s="12"/>
    </row>
    <row r="46">
      <c r="A46" s="12" t="s">
        <v>90</v>
      </c>
      <c r="B46" s="25" t="s">
        <v>85</v>
      </c>
      <c r="C46" s="23"/>
      <c r="D46" s="24"/>
      <c r="F46" s="38" t="s">
        <v>41</v>
      </c>
      <c r="G46" s="38" t="s">
        <v>44</v>
      </c>
      <c r="H46" s="38" t="s">
        <v>48</v>
      </c>
      <c r="I46" s="38" t="s">
        <v>51</v>
      </c>
      <c r="J46" s="38" t="s">
        <v>53</v>
      </c>
      <c r="K46" s="38" t="s">
        <v>56</v>
      </c>
    </row>
    <row r="47">
      <c r="A47" s="12" t="s">
        <v>91</v>
      </c>
      <c r="B47" s="25" t="s">
        <v>92</v>
      </c>
      <c r="C47" s="23"/>
      <c r="D47" s="24"/>
      <c r="F47" s="12" t="str">
        <f t="shared" ref="F47:K47" si="8">INDEX($A$15:$A$57,SMALL(IF(F$46=$C$15:$C$57,row($C$15:$C$57)-row($C$15)+1),row(1:1)))</f>
        <v>#NUM!</v>
      </c>
      <c r="G47" s="12" t="str">
        <f t="shared" si="8"/>
        <v>#NUM!</v>
      </c>
      <c r="H47" s="12" t="str">
        <f t="shared" si="8"/>
        <v>#NUM!</v>
      </c>
      <c r="I47" s="12" t="str">
        <f t="shared" si="8"/>
        <v>#NUM!</v>
      </c>
      <c r="J47" s="12" t="str">
        <f t="shared" si="8"/>
        <v>#NUM!</v>
      </c>
      <c r="K47" s="12" t="str">
        <f t="shared" si="8"/>
        <v>#NUM!</v>
      </c>
    </row>
    <row r="48">
      <c r="A48" s="12" t="s">
        <v>93</v>
      </c>
      <c r="B48" s="25" t="s">
        <v>92</v>
      </c>
      <c r="C48" s="23"/>
      <c r="D48" s="24"/>
      <c r="F48" s="12" t="str">
        <f t="shared" ref="F48:K48" si="9">INDEX($A$15:$A$57,SMALL(IF(F$46=$C$15:$C$57,row($C$15:$C$57)-row($C$15)+1),row(2:2)))</f>
        <v>#NUM!</v>
      </c>
      <c r="G48" s="12" t="str">
        <f t="shared" si="9"/>
        <v>#NUM!</v>
      </c>
      <c r="H48" s="12" t="str">
        <f t="shared" si="9"/>
        <v>#NUM!</v>
      </c>
      <c r="I48" s="12" t="str">
        <f t="shared" si="9"/>
        <v>#NUM!</v>
      </c>
      <c r="J48" s="12" t="str">
        <f t="shared" si="9"/>
        <v>#NUM!</v>
      </c>
      <c r="K48" s="12" t="str">
        <f t="shared" si="9"/>
        <v>#NUM!</v>
      </c>
    </row>
    <row r="49">
      <c r="A49" s="12" t="s">
        <v>94</v>
      </c>
      <c r="B49" s="25" t="s">
        <v>95</v>
      </c>
      <c r="C49" s="23"/>
      <c r="D49" s="24"/>
      <c r="F49" s="12" t="str">
        <f t="shared" ref="F49:K49" si="10">INDEX($A$15:$A$57,SMALL(IF(F$46=$C$15:$C$57,row($C$15:$C$57)-row($C$15)+1),row(3:3)))</f>
        <v>#NUM!</v>
      </c>
      <c r="G49" s="12" t="str">
        <f t="shared" si="10"/>
        <v>#NUM!</v>
      </c>
      <c r="H49" s="12" t="str">
        <f t="shared" si="10"/>
        <v>#NUM!</v>
      </c>
      <c r="I49" s="12" t="str">
        <f t="shared" si="10"/>
        <v>#NUM!</v>
      </c>
      <c r="J49" s="12" t="str">
        <f t="shared" si="10"/>
        <v>#NUM!</v>
      </c>
      <c r="K49" s="12" t="str">
        <f t="shared" si="10"/>
        <v>#NUM!</v>
      </c>
    </row>
    <row r="50">
      <c r="A50" s="12" t="s">
        <v>96</v>
      </c>
      <c r="B50" s="25" t="s">
        <v>95</v>
      </c>
      <c r="C50" s="23"/>
      <c r="D50" s="24"/>
      <c r="F50" s="12" t="str">
        <f t="shared" ref="F50:K50" si="11">INDEX($A$15:$A$57,SMALL(IF(F$46=$C$15:$C$57,row($C$15:$C$57)-row($C$15)+1),row(4:4)))</f>
        <v>#NUM!</v>
      </c>
      <c r="G50" s="12" t="str">
        <f t="shared" si="11"/>
        <v>#NUM!</v>
      </c>
      <c r="H50" s="12" t="str">
        <f t="shared" si="11"/>
        <v>#NUM!</v>
      </c>
      <c r="I50" s="12" t="str">
        <f t="shared" si="11"/>
        <v>#NUM!</v>
      </c>
      <c r="J50" s="12" t="str">
        <f t="shared" si="11"/>
        <v>#NUM!</v>
      </c>
      <c r="K50" s="12" t="str">
        <f t="shared" si="11"/>
        <v>#NUM!</v>
      </c>
      <c r="L50" s="12"/>
    </row>
    <row r="51">
      <c r="A51" s="12" t="s">
        <v>97</v>
      </c>
      <c r="B51" s="25" t="s">
        <v>95</v>
      </c>
      <c r="C51" s="23"/>
      <c r="D51" s="24"/>
      <c r="F51" s="12" t="str">
        <f t="shared" ref="F51:K51" si="12">INDEX($A$15:$A$57,SMALL(IF(F$46=$C$15:$C$57,row($C$15:$C$57)-row($C$15)+1),row(5:5)))</f>
        <v>#NUM!</v>
      </c>
      <c r="G51" s="12" t="str">
        <f t="shared" si="12"/>
        <v>#NUM!</v>
      </c>
      <c r="H51" s="12" t="str">
        <f t="shared" si="12"/>
        <v>#NUM!</v>
      </c>
      <c r="I51" s="12" t="str">
        <f t="shared" si="12"/>
        <v>#NUM!</v>
      </c>
      <c r="J51" s="12" t="str">
        <f t="shared" si="12"/>
        <v>#NUM!</v>
      </c>
      <c r="K51" s="12" t="str">
        <f t="shared" si="12"/>
        <v>#NUM!</v>
      </c>
      <c r="L51" s="12"/>
    </row>
    <row r="52">
      <c r="A52" s="12" t="s">
        <v>98</v>
      </c>
      <c r="B52" s="25" t="s">
        <v>95</v>
      </c>
      <c r="C52" s="23"/>
      <c r="D52" s="24"/>
      <c r="F52" s="12" t="str">
        <f t="shared" ref="F52:K52" si="13">INDEX($A$15:$A$57,SMALL(IF(F$46=$C$15:$C$57,row($C$15:$C$57)-row($C$15)+1),row(6:6)))</f>
        <v>#NUM!</v>
      </c>
      <c r="G52" s="12" t="str">
        <f t="shared" si="13"/>
        <v>#NUM!</v>
      </c>
      <c r="H52" s="12" t="str">
        <f t="shared" si="13"/>
        <v>#NUM!</v>
      </c>
      <c r="I52" s="12" t="str">
        <f t="shared" si="13"/>
        <v>#NUM!</v>
      </c>
      <c r="J52" s="12" t="str">
        <f t="shared" si="13"/>
        <v>#NUM!</v>
      </c>
      <c r="K52" s="12" t="str">
        <f t="shared" si="13"/>
        <v>#NUM!</v>
      </c>
      <c r="L52" s="12"/>
    </row>
    <row r="53">
      <c r="A53" s="39" t="s">
        <v>99</v>
      </c>
      <c r="B53" s="40" t="s">
        <v>95</v>
      </c>
      <c r="C53" s="23"/>
      <c r="D53" s="23"/>
      <c r="F53" s="12" t="str">
        <f t="shared" ref="F53:K53" si="14">INDEX($A$15:$A$57,SMALL(IF(F$46=$C$15:$C$57,row($C$15:$C$57)-row($C$15)+1),row(7:7)))</f>
        <v>#NUM!</v>
      </c>
      <c r="G53" s="12" t="str">
        <f t="shared" si="14"/>
        <v>#NUM!</v>
      </c>
      <c r="H53" s="12" t="str">
        <f t="shared" si="14"/>
        <v>#NUM!</v>
      </c>
      <c r="I53" s="12" t="str">
        <f t="shared" si="14"/>
        <v>#NUM!</v>
      </c>
      <c r="J53" s="12" t="str">
        <f t="shared" si="14"/>
        <v>#NUM!</v>
      </c>
      <c r="K53" s="12" t="str">
        <f t="shared" si="14"/>
        <v>#NUM!</v>
      </c>
      <c r="L53" s="12"/>
    </row>
    <row r="54">
      <c r="A54" s="39" t="s">
        <v>100</v>
      </c>
      <c r="B54" s="40" t="s">
        <v>95</v>
      </c>
      <c r="C54" s="23"/>
      <c r="D54" s="23"/>
      <c r="F54" s="12" t="str">
        <f t="shared" ref="F54:K54" si="15">INDEX($A$15:$A$57,SMALL(IF(F$46=$C$15:$C$57,row($C$15:$C$57)-row($C$15)+1),row(8:8)))</f>
        <v>#NUM!</v>
      </c>
      <c r="G54" s="12" t="str">
        <f t="shared" si="15"/>
        <v>#NUM!</v>
      </c>
      <c r="H54" s="12" t="str">
        <f t="shared" si="15"/>
        <v>#NUM!</v>
      </c>
      <c r="I54" s="12" t="str">
        <f t="shared" si="15"/>
        <v>#NUM!</v>
      </c>
      <c r="J54" s="12" t="str">
        <f t="shared" si="15"/>
        <v>#NUM!</v>
      </c>
      <c r="K54" s="12" t="str">
        <f t="shared" si="15"/>
        <v>#NUM!</v>
      </c>
      <c r="L54" s="8"/>
    </row>
    <row r="55">
      <c r="A55" s="39" t="s">
        <v>101</v>
      </c>
      <c r="B55" s="40" t="s">
        <v>95</v>
      </c>
      <c r="C55" s="23"/>
      <c r="D55" s="23"/>
      <c r="L55" s="8"/>
    </row>
    <row r="56">
      <c r="A56" s="8" t="s">
        <v>102</v>
      </c>
      <c r="B56" s="40" t="s">
        <v>95</v>
      </c>
      <c r="C56" s="23"/>
      <c r="D56" s="23"/>
      <c r="E56" s="41"/>
      <c r="F56" s="38" t="s">
        <v>59</v>
      </c>
      <c r="G56" s="38" t="s">
        <v>61</v>
      </c>
      <c r="H56" s="38" t="s">
        <v>63</v>
      </c>
      <c r="I56" s="38" t="s">
        <v>66</v>
      </c>
      <c r="J56" s="38" t="s">
        <v>68</v>
      </c>
      <c r="K56" s="38" t="s">
        <v>70</v>
      </c>
      <c r="L56" s="42"/>
      <c r="M56" s="41"/>
      <c r="N56" s="41"/>
      <c r="O56" s="41"/>
      <c r="P56" s="41"/>
      <c r="Q56" s="41"/>
      <c r="R56" s="41"/>
      <c r="S56" s="41"/>
      <c r="T56" s="41"/>
      <c r="U56" s="41"/>
      <c r="V56" s="41"/>
      <c r="W56" s="41"/>
      <c r="X56" s="41"/>
      <c r="Y56" s="41"/>
      <c r="Z56" s="41"/>
    </row>
    <row r="57">
      <c r="A57" s="43" t="s">
        <v>103</v>
      </c>
      <c r="B57" s="44"/>
      <c r="C57" s="45"/>
      <c r="D57" s="45"/>
      <c r="F57" s="12" t="str">
        <f t="shared" ref="F57:K57" si="16">INDEX($A$15:$A$57,SMALL(IF(F$56=$C$15:$C$57,row($C$15:$C$57)-row($C$15)+1),row(1:1)))</f>
        <v>#NUM!</v>
      </c>
      <c r="G57" s="12" t="str">
        <f t="shared" si="16"/>
        <v>#NUM!</v>
      </c>
      <c r="H57" s="12" t="str">
        <f t="shared" si="16"/>
        <v>#NUM!</v>
      </c>
      <c r="I57" s="12" t="str">
        <f t="shared" si="16"/>
        <v>#NUM!</v>
      </c>
      <c r="J57" s="12" t="str">
        <f t="shared" si="16"/>
        <v>#NUM!</v>
      </c>
      <c r="K57" s="12" t="str">
        <f t="shared" si="16"/>
        <v>#NUM!</v>
      </c>
      <c r="L57" s="8"/>
    </row>
    <row r="58">
      <c r="A58" s="12"/>
      <c r="B58" s="46"/>
      <c r="C58" s="34" t="s">
        <v>104</v>
      </c>
      <c r="D58" s="37">
        <f>sum(D15:D57)</f>
        <v>0</v>
      </c>
      <c r="F58" s="12" t="str">
        <f t="shared" ref="F58:K58" si="17">INDEX($A$15:$A$57,SMALL(IF(F$56=$C$15:$C$57,row($C$15:$C$57)-row($C$15)+1),row(2:2)))</f>
        <v>#NUM!</v>
      </c>
      <c r="G58" s="12" t="str">
        <f t="shared" si="17"/>
        <v>#NUM!</v>
      </c>
      <c r="H58" s="12" t="str">
        <f t="shared" si="17"/>
        <v>#NUM!</v>
      </c>
      <c r="I58" s="12" t="str">
        <f t="shared" si="17"/>
        <v>#NUM!</v>
      </c>
      <c r="J58" s="12" t="str">
        <f t="shared" si="17"/>
        <v>#NUM!</v>
      </c>
      <c r="K58" s="12" t="str">
        <f t="shared" si="17"/>
        <v>#NUM!</v>
      </c>
      <c r="L58" s="8"/>
    </row>
    <row r="59">
      <c r="A59" s="47" t="s">
        <v>105</v>
      </c>
      <c r="B59" s="47"/>
      <c r="C59" s="18" t="s">
        <v>106</v>
      </c>
      <c r="D59" s="36" t="str">
        <f>if(G33-D58=0,"No","Yes")</f>
        <v>No</v>
      </c>
      <c r="F59" s="12" t="str">
        <f t="shared" ref="F59:K59" si="18">INDEX($A$15:$A$57,SMALL(IF(F$56=$C$15:$C$57,row($C$15:$C$57)-row($C$15)+1),row(3:3)))</f>
        <v>#NUM!</v>
      </c>
      <c r="G59" s="12" t="str">
        <f t="shared" si="18"/>
        <v>#NUM!</v>
      </c>
      <c r="H59" s="12" t="str">
        <f t="shared" si="18"/>
        <v>#NUM!</v>
      </c>
      <c r="I59" s="12" t="str">
        <f t="shared" si="18"/>
        <v>#NUM!</v>
      </c>
      <c r="J59" s="12" t="str">
        <f t="shared" si="18"/>
        <v>#NUM!</v>
      </c>
      <c r="K59" s="12" t="str">
        <f t="shared" si="18"/>
        <v>#NUM!</v>
      </c>
      <c r="L59" s="8"/>
    </row>
    <row r="60">
      <c r="A60" s="48"/>
      <c r="B60" s="46"/>
      <c r="C60" s="12"/>
      <c r="F60" s="12" t="str">
        <f t="shared" ref="F60:K60" si="19">INDEX($A$15:$A$57,SMALL(IF(F$56=$C$15:$C$57,row($C$15:$C$57)-row($C$15)+1),row(4:4)))</f>
        <v>#NUM!</v>
      </c>
      <c r="G60" s="12" t="str">
        <f t="shared" si="19"/>
        <v>#NUM!</v>
      </c>
      <c r="H60" s="12" t="str">
        <f t="shared" si="19"/>
        <v>#NUM!</v>
      </c>
      <c r="I60" s="12" t="str">
        <f t="shared" si="19"/>
        <v>#NUM!</v>
      </c>
      <c r="J60" s="12" t="str">
        <f t="shared" si="19"/>
        <v>#NUM!</v>
      </c>
      <c r="K60" s="12" t="str">
        <f t="shared" si="19"/>
        <v>#NUM!</v>
      </c>
      <c r="L60" s="8"/>
    </row>
    <row r="61">
      <c r="A61" s="48" t="s">
        <v>107</v>
      </c>
      <c r="B61" s="46" t="s">
        <v>108</v>
      </c>
      <c r="C61" s="12"/>
      <c r="F61" s="12" t="str">
        <f t="shared" ref="F61:K61" si="20">INDEX($A$15:$A$57,SMALL(IF(F$56=$C$15:$C$57,row($C$15:$C$57)-row($C$15)+1),row(5:5)))</f>
        <v>#NUM!</v>
      </c>
      <c r="G61" s="12" t="str">
        <f t="shared" si="20"/>
        <v>#NUM!</v>
      </c>
      <c r="H61" s="12" t="str">
        <f t="shared" si="20"/>
        <v>#NUM!</v>
      </c>
      <c r="I61" s="12" t="str">
        <f t="shared" si="20"/>
        <v>#NUM!</v>
      </c>
      <c r="J61" s="12" t="str">
        <f t="shared" si="20"/>
        <v>#NUM!</v>
      </c>
      <c r="K61" s="12" t="str">
        <f t="shared" si="20"/>
        <v>#NUM!</v>
      </c>
      <c r="L61" s="8"/>
    </row>
    <row r="62">
      <c r="A62" s="48" t="s">
        <v>109</v>
      </c>
      <c r="B62" s="46" t="s">
        <v>108</v>
      </c>
      <c r="C62" s="12"/>
      <c r="F62" s="12" t="str">
        <f t="shared" ref="F62:K62" si="21">INDEX($A$15:$A$57,SMALL(IF(F$56=$C$15:$C$57,row($C$15:$C$57)-row($C$15)+1),row(6:6)))</f>
        <v>#NUM!</v>
      </c>
      <c r="G62" s="12" t="str">
        <f t="shared" si="21"/>
        <v>#NUM!</v>
      </c>
      <c r="H62" s="12" t="str">
        <f t="shared" si="21"/>
        <v>#NUM!</v>
      </c>
      <c r="I62" s="12" t="str">
        <f t="shared" si="21"/>
        <v>#NUM!</v>
      </c>
      <c r="J62" s="12" t="str">
        <f t="shared" si="21"/>
        <v>#NUM!</v>
      </c>
      <c r="K62" s="12" t="str">
        <f t="shared" si="21"/>
        <v>#NUM!</v>
      </c>
      <c r="L62" s="8"/>
    </row>
    <row r="63">
      <c r="A63" s="48" t="s">
        <v>110</v>
      </c>
      <c r="B63" s="46" t="s">
        <v>111</v>
      </c>
      <c r="C63" s="12"/>
      <c r="F63" s="12" t="str">
        <f t="shared" ref="F63:K63" si="22">INDEX($A$15:$A$57,SMALL(IF(F$56=$C$15:$C$57,row($C$15:$C$57)-row($C$15)+1),row(7:7)))</f>
        <v>#NUM!</v>
      </c>
      <c r="G63" s="12" t="str">
        <f t="shared" si="22"/>
        <v>#NUM!</v>
      </c>
      <c r="H63" s="12" t="str">
        <f t="shared" si="22"/>
        <v>#NUM!</v>
      </c>
      <c r="I63" s="12" t="str">
        <f t="shared" si="22"/>
        <v>#NUM!</v>
      </c>
      <c r="J63" s="12" t="str">
        <f t="shared" si="22"/>
        <v>#NUM!</v>
      </c>
      <c r="K63" s="12" t="str">
        <f t="shared" si="22"/>
        <v>#NUM!</v>
      </c>
      <c r="L63" s="8"/>
    </row>
    <row r="64">
      <c r="A64" s="48" t="s">
        <v>112</v>
      </c>
      <c r="B64" s="46" t="s">
        <v>111</v>
      </c>
      <c r="C64" s="12"/>
      <c r="F64" s="12" t="str">
        <f t="shared" ref="F64:K64" si="23">INDEX($A$15:$A$57,SMALL(IF(F$56=$C$15:$C$57,row($C$15:$C$57)-row($C$15)+1),row(8:8)))</f>
        <v>#NUM!</v>
      </c>
      <c r="G64" s="12" t="str">
        <f t="shared" si="23"/>
        <v>#NUM!</v>
      </c>
      <c r="H64" s="12" t="str">
        <f t="shared" si="23"/>
        <v>#NUM!</v>
      </c>
      <c r="I64" s="12" t="str">
        <f t="shared" si="23"/>
        <v>#NUM!</v>
      </c>
      <c r="J64" s="12" t="str">
        <f t="shared" si="23"/>
        <v>#NUM!</v>
      </c>
      <c r="K64" s="12" t="str">
        <f t="shared" si="23"/>
        <v>#NUM!</v>
      </c>
      <c r="L64" s="8"/>
    </row>
    <row r="65">
      <c r="A65" s="48" t="s">
        <v>113</v>
      </c>
      <c r="B65" s="46" t="s">
        <v>111</v>
      </c>
      <c r="C65" s="12"/>
      <c r="L65" s="8"/>
    </row>
    <row r="66">
      <c r="A66" s="48" t="s">
        <v>114</v>
      </c>
      <c r="B66" s="46" t="s">
        <v>111</v>
      </c>
      <c r="C66" s="12"/>
      <c r="L66" s="8"/>
    </row>
    <row r="67">
      <c r="A67" s="48" t="s">
        <v>115</v>
      </c>
      <c r="B67" s="46" t="s">
        <v>116</v>
      </c>
      <c r="C67" s="12"/>
      <c r="L67" s="8"/>
    </row>
    <row r="68">
      <c r="A68" s="48" t="s">
        <v>117</v>
      </c>
      <c r="B68" s="46" t="s">
        <v>116</v>
      </c>
      <c r="C68" s="12"/>
      <c r="F68" s="8"/>
      <c r="G68" s="8"/>
      <c r="H68" s="8"/>
      <c r="I68" s="8"/>
      <c r="J68" s="8"/>
      <c r="K68" s="8"/>
      <c r="L68" s="8"/>
    </row>
    <row r="69">
      <c r="A69" s="48" t="s">
        <v>118</v>
      </c>
      <c r="B69" s="46" t="s">
        <v>116</v>
      </c>
      <c r="C69" s="12"/>
      <c r="F69" s="8"/>
      <c r="G69" s="8"/>
      <c r="H69" s="8"/>
      <c r="I69" s="8"/>
      <c r="J69" s="8"/>
      <c r="K69" s="8"/>
      <c r="L69" s="8"/>
    </row>
    <row r="70">
      <c r="A70" s="48" t="s">
        <v>119</v>
      </c>
      <c r="B70" s="46" t="s">
        <v>116</v>
      </c>
      <c r="C70" s="12"/>
      <c r="F70" s="8"/>
      <c r="G70" s="8"/>
      <c r="H70" s="8"/>
      <c r="I70" s="8"/>
      <c r="J70" s="8"/>
      <c r="K70" s="8"/>
      <c r="L70" s="8"/>
    </row>
    <row r="71">
      <c r="A71" s="48" t="s">
        <v>120</v>
      </c>
      <c r="B71" s="46" t="s">
        <v>121</v>
      </c>
      <c r="C71" s="12"/>
      <c r="F71" s="8"/>
      <c r="G71" s="8"/>
      <c r="H71" s="8"/>
      <c r="I71" s="8"/>
      <c r="J71" s="8"/>
      <c r="K71" s="8"/>
      <c r="L71" s="8"/>
    </row>
    <row r="72">
      <c r="A72" s="48" t="s">
        <v>122</v>
      </c>
      <c r="B72" s="46" t="s">
        <v>121</v>
      </c>
      <c r="C72" s="12"/>
      <c r="F72" s="8"/>
      <c r="G72" s="8"/>
      <c r="H72" s="8"/>
      <c r="I72" s="8"/>
      <c r="J72" s="8"/>
      <c r="K72" s="8"/>
      <c r="L72" s="8"/>
    </row>
    <row r="73">
      <c r="A73" s="48" t="s">
        <v>123</v>
      </c>
      <c r="B73" s="46" t="s">
        <v>121</v>
      </c>
      <c r="C73" s="12"/>
      <c r="F73" s="8"/>
      <c r="G73" s="8"/>
      <c r="H73" s="8"/>
      <c r="I73" s="8"/>
      <c r="J73" s="8"/>
      <c r="K73" s="8"/>
      <c r="L73" s="8"/>
    </row>
    <row r="74">
      <c r="A74" s="48" t="s">
        <v>124</v>
      </c>
      <c r="B74" s="46" t="s">
        <v>121</v>
      </c>
      <c r="C74" s="12"/>
      <c r="F74" s="8"/>
      <c r="G74" s="8"/>
      <c r="H74" s="8"/>
      <c r="I74" s="8"/>
      <c r="J74" s="8"/>
      <c r="K74" s="8"/>
      <c r="L74" s="8"/>
    </row>
    <row r="75">
      <c r="A75" s="48" t="s">
        <v>125</v>
      </c>
      <c r="B75" s="46" t="s">
        <v>121</v>
      </c>
      <c r="C75" s="12"/>
      <c r="F75" s="8"/>
      <c r="G75" s="8"/>
      <c r="H75" s="8"/>
      <c r="I75" s="8"/>
      <c r="J75" s="8"/>
      <c r="K75" s="8"/>
      <c r="L75" s="8"/>
    </row>
    <row r="76">
      <c r="A76" s="48" t="s">
        <v>126</v>
      </c>
      <c r="B76" s="46" t="s">
        <v>127</v>
      </c>
      <c r="C76" s="12"/>
      <c r="F76" s="8"/>
      <c r="G76" s="8"/>
      <c r="H76" s="8"/>
      <c r="I76" s="8"/>
      <c r="J76" s="8"/>
      <c r="K76" s="8"/>
      <c r="L76" s="8"/>
    </row>
    <row r="77">
      <c r="A77" s="48" t="s">
        <v>128</v>
      </c>
      <c r="B77" s="46" t="s">
        <v>127</v>
      </c>
      <c r="C77" s="12"/>
      <c r="F77" s="8"/>
      <c r="G77" s="8"/>
      <c r="H77" s="8"/>
      <c r="I77" s="8"/>
      <c r="J77" s="8"/>
      <c r="K77" s="8"/>
      <c r="L77" s="8"/>
    </row>
    <row r="78">
      <c r="A78" s="48" t="s">
        <v>129</v>
      </c>
      <c r="B78" s="46" t="s">
        <v>127</v>
      </c>
      <c r="C78" s="12"/>
      <c r="F78" s="8"/>
      <c r="G78" s="8"/>
      <c r="H78" s="8"/>
      <c r="I78" s="8"/>
      <c r="J78" s="8"/>
      <c r="K78" s="8"/>
      <c r="L78" s="8"/>
    </row>
    <row r="79">
      <c r="A79" s="48" t="s">
        <v>130</v>
      </c>
      <c r="B79" s="46" t="s">
        <v>127</v>
      </c>
      <c r="C79" s="12"/>
      <c r="F79" s="8"/>
      <c r="G79" s="8"/>
      <c r="H79" s="8"/>
      <c r="I79" s="8"/>
      <c r="J79" s="8"/>
      <c r="K79" s="8"/>
      <c r="L79" s="8"/>
    </row>
    <row r="80">
      <c r="A80" s="48" t="s">
        <v>131</v>
      </c>
      <c r="B80" s="46" t="s">
        <v>127</v>
      </c>
      <c r="C80" s="12"/>
      <c r="F80" s="8"/>
      <c r="G80" s="8"/>
      <c r="H80" s="8"/>
      <c r="I80" s="8"/>
      <c r="J80" s="8"/>
      <c r="K80" s="8"/>
      <c r="L80" s="8"/>
    </row>
    <row r="81">
      <c r="A81" s="48" t="s">
        <v>132</v>
      </c>
      <c r="B81" s="46" t="s">
        <v>127</v>
      </c>
      <c r="C81" s="12"/>
      <c r="F81" s="8"/>
      <c r="G81" s="8"/>
      <c r="H81" s="8"/>
      <c r="I81" s="8"/>
      <c r="J81" s="8"/>
      <c r="K81" s="8"/>
      <c r="L81" s="8"/>
    </row>
    <row r="82">
      <c r="A82" s="48" t="s">
        <v>133</v>
      </c>
      <c r="B82" s="46" t="s">
        <v>127</v>
      </c>
      <c r="C82" s="12"/>
      <c r="F82" s="8"/>
      <c r="G82" s="8"/>
      <c r="H82" s="8"/>
      <c r="I82" s="8"/>
      <c r="J82" s="8"/>
      <c r="K82" s="8"/>
      <c r="L82" s="8"/>
    </row>
    <row r="83">
      <c r="A83" s="48" t="s">
        <v>134</v>
      </c>
      <c r="B83" s="46" t="s">
        <v>127</v>
      </c>
      <c r="C83" s="12"/>
      <c r="F83" s="8"/>
      <c r="G83" s="8"/>
      <c r="H83" s="8"/>
      <c r="I83" s="8"/>
      <c r="J83" s="8"/>
      <c r="K83" s="8"/>
      <c r="L83" s="8"/>
    </row>
    <row r="84">
      <c r="A84" s="48" t="s">
        <v>135</v>
      </c>
      <c r="B84" s="46" t="s">
        <v>136</v>
      </c>
      <c r="C84" s="12"/>
      <c r="F84" s="8"/>
      <c r="G84" s="8"/>
      <c r="H84" s="8"/>
      <c r="I84" s="8"/>
      <c r="J84" s="8"/>
      <c r="K84" s="8"/>
      <c r="L84" s="8"/>
    </row>
    <row r="85">
      <c r="A85" s="48" t="s">
        <v>137</v>
      </c>
      <c r="B85" s="46" t="s">
        <v>136</v>
      </c>
      <c r="C85" s="12"/>
      <c r="F85" s="8"/>
      <c r="G85" s="8"/>
      <c r="H85" s="8"/>
      <c r="I85" s="8"/>
      <c r="J85" s="8"/>
      <c r="K85" s="8"/>
      <c r="L85" s="8"/>
    </row>
    <row r="86">
      <c r="A86" s="48" t="s">
        <v>138</v>
      </c>
      <c r="B86" s="46" t="s">
        <v>136</v>
      </c>
      <c r="C86" s="12"/>
      <c r="F86" s="8"/>
      <c r="G86" s="8"/>
      <c r="H86" s="8"/>
      <c r="I86" s="8"/>
      <c r="J86" s="8"/>
      <c r="K86" s="8"/>
      <c r="L86" s="8"/>
    </row>
    <row r="87">
      <c r="A87" s="48" t="s">
        <v>139</v>
      </c>
      <c r="B87" s="46" t="s">
        <v>136</v>
      </c>
      <c r="C87" s="12"/>
      <c r="F87" s="8"/>
      <c r="G87" s="8"/>
      <c r="H87" s="8"/>
      <c r="I87" s="8"/>
      <c r="J87" s="8"/>
      <c r="K87" s="8"/>
      <c r="L87" s="8"/>
    </row>
    <row r="88">
      <c r="A88" s="48" t="s">
        <v>140</v>
      </c>
      <c r="B88" s="46" t="s">
        <v>136</v>
      </c>
      <c r="C88" s="12"/>
      <c r="F88" s="8"/>
      <c r="G88" s="8"/>
      <c r="H88" s="8"/>
      <c r="I88" s="8"/>
      <c r="J88" s="8"/>
      <c r="K88" s="8"/>
      <c r="L88" s="8"/>
    </row>
    <row r="89">
      <c r="A89" s="48" t="s">
        <v>141</v>
      </c>
      <c r="B89" s="46" t="s">
        <v>142</v>
      </c>
      <c r="C89" s="12"/>
      <c r="F89" s="8"/>
      <c r="G89" s="8"/>
      <c r="H89" s="8"/>
      <c r="I89" s="8"/>
      <c r="J89" s="8"/>
      <c r="K89" s="8"/>
      <c r="L89" s="8"/>
    </row>
    <row r="90">
      <c r="A90" s="48" t="s">
        <v>143</v>
      </c>
      <c r="B90" s="46" t="s">
        <v>142</v>
      </c>
      <c r="C90" s="12"/>
      <c r="F90" s="8"/>
      <c r="G90" s="8"/>
      <c r="H90" s="8"/>
      <c r="I90" s="8"/>
      <c r="J90" s="8"/>
      <c r="K90" s="8"/>
      <c r="L90" s="8"/>
    </row>
    <row r="91">
      <c r="A91" s="48" t="s">
        <v>144</v>
      </c>
      <c r="B91" s="46" t="s">
        <v>142</v>
      </c>
      <c r="C91" s="12"/>
      <c r="F91" s="8"/>
      <c r="G91" s="8"/>
      <c r="H91" s="8"/>
      <c r="I91" s="8"/>
      <c r="J91" s="8"/>
      <c r="K91" s="8"/>
      <c r="L91" s="8"/>
    </row>
    <row r="92">
      <c r="A92" s="49" t="s">
        <v>145</v>
      </c>
      <c r="B92" s="46" t="s">
        <v>142</v>
      </c>
      <c r="C92" s="12"/>
      <c r="F92" s="8"/>
      <c r="G92" s="8"/>
      <c r="H92" s="8"/>
      <c r="I92" s="8"/>
      <c r="J92" s="8"/>
      <c r="K92" s="8"/>
      <c r="L92" s="8"/>
    </row>
    <row r="93">
      <c r="A93" s="49" t="s">
        <v>146</v>
      </c>
      <c r="B93" s="46" t="s">
        <v>142</v>
      </c>
      <c r="C93" s="12"/>
      <c r="F93" s="8"/>
      <c r="G93" s="8"/>
      <c r="H93" s="8"/>
      <c r="I93" s="8"/>
      <c r="J93" s="8"/>
      <c r="K93" s="8"/>
      <c r="L93" s="8"/>
    </row>
    <row r="94">
      <c r="A94" s="49" t="s">
        <v>147</v>
      </c>
      <c r="B94" s="46" t="s">
        <v>142</v>
      </c>
      <c r="C94" s="12"/>
      <c r="F94" s="8"/>
      <c r="G94" s="8"/>
      <c r="H94" s="8"/>
      <c r="I94" s="8"/>
      <c r="J94" s="8"/>
      <c r="K94" s="8"/>
      <c r="L94" s="8"/>
    </row>
    <row r="95">
      <c r="A95" s="49" t="s">
        <v>148</v>
      </c>
      <c r="B95" s="46" t="s">
        <v>149</v>
      </c>
      <c r="C95" s="12"/>
      <c r="F95" s="8"/>
      <c r="G95" s="8"/>
      <c r="H95" s="8"/>
      <c r="I95" s="8"/>
      <c r="J95" s="8"/>
      <c r="K95" s="8"/>
      <c r="L95" s="8"/>
    </row>
    <row r="96">
      <c r="A96" s="49" t="s">
        <v>150</v>
      </c>
      <c r="B96" s="50" t="s">
        <v>151</v>
      </c>
      <c r="C96" s="12"/>
      <c r="F96" s="8"/>
      <c r="G96" s="8"/>
      <c r="H96" s="8"/>
      <c r="I96" s="8"/>
      <c r="J96" s="8"/>
      <c r="K96" s="8"/>
      <c r="L96" s="8"/>
    </row>
    <row r="97">
      <c r="A97" s="49" t="s">
        <v>152</v>
      </c>
      <c r="B97" s="50" t="s">
        <v>151</v>
      </c>
      <c r="C97" s="12"/>
      <c r="F97" s="8"/>
      <c r="G97" s="8"/>
      <c r="H97" s="8"/>
      <c r="I97" s="8"/>
      <c r="J97" s="8"/>
      <c r="K97" s="8"/>
      <c r="L97" s="8"/>
    </row>
    <row r="98">
      <c r="A98" s="49" t="s">
        <v>153</v>
      </c>
      <c r="B98" s="50" t="s">
        <v>151</v>
      </c>
      <c r="C98" s="12"/>
      <c r="F98" s="8"/>
      <c r="G98" s="8"/>
      <c r="H98" s="8"/>
      <c r="I98" s="8"/>
      <c r="J98" s="8"/>
      <c r="K98" s="8"/>
      <c r="L98" s="8"/>
    </row>
    <row r="99">
      <c r="A99" s="49" t="s">
        <v>154</v>
      </c>
      <c r="B99" s="50" t="s">
        <v>151</v>
      </c>
      <c r="C99" s="12"/>
      <c r="F99" s="8"/>
      <c r="G99" s="8"/>
      <c r="H99" s="8"/>
      <c r="I99" s="8"/>
      <c r="J99" s="8"/>
      <c r="K99" s="8"/>
      <c r="L99" s="8"/>
    </row>
    <row r="100">
      <c r="A100" s="49" t="s">
        <v>155</v>
      </c>
      <c r="B100" s="50" t="s">
        <v>151</v>
      </c>
      <c r="C100" s="12"/>
      <c r="F100" s="8"/>
      <c r="G100" s="8"/>
      <c r="H100" s="8"/>
      <c r="I100" s="8"/>
      <c r="J100" s="8"/>
      <c r="K100" s="8"/>
      <c r="L100" s="8"/>
    </row>
    <row r="101">
      <c r="A101" s="49" t="s">
        <v>156</v>
      </c>
      <c r="B101" s="50" t="s">
        <v>151</v>
      </c>
      <c r="C101" s="12"/>
      <c r="F101" s="8"/>
      <c r="G101" s="8"/>
      <c r="H101" s="8"/>
      <c r="I101" s="8"/>
      <c r="J101" s="8"/>
      <c r="K101" s="8"/>
      <c r="L101" s="8"/>
    </row>
    <row r="102">
      <c r="A102" s="51" t="s">
        <v>157</v>
      </c>
      <c r="B102" s="50" t="s">
        <v>151</v>
      </c>
      <c r="C102" s="12"/>
      <c r="F102" s="8"/>
      <c r="G102" s="8"/>
      <c r="H102" s="8"/>
      <c r="I102" s="8"/>
      <c r="J102" s="8"/>
      <c r="K102" s="8"/>
      <c r="L102" s="8"/>
    </row>
    <row r="103">
      <c r="A103" s="8" t="s">
        <v>158</v>
      </c>
      <c r="B103" s="50" t="s">
        <v>151</v>
      </c>
      <c r="C103" s="12"/>
      <c r="F103" s="8"/>
      <c r="G103" s="8"/>
      <c r="H103" s="8"/>
      <c r="I103" s="8"/>
      <c r="J103" s="8"/>
      <c r="K103" s="8"/>
      <c r="L103" s="8"/>
    </row>
    <row r="104">
      <c r="A104" s="8" t="s">
        <v>159</v>
      </c>
      <c r="B104" s="50" t="s">
        <v>151</v>
      </c>
      <c r="C104" s="12"/>
      <c r="F104" s="8"/>
      <c r="G104" s="8"/>
      <c r="H104" s="8"/>
      <c r="I104" s="8"/>
      <c r="J104" s="8"/>
      <c r="K104" s="8"/>
      <c r="L104" s="8"/>
    </row>
    <row r="105">
      <c r="A105" s="8" t="s">
        <v>160</v>
      </c>
      <c r="B105" s="50" t="s">
        <v>151</v>
      </c>
      <c r="C105" s="12"/>
      <c r="L105" s="8"/>
    </row>
    <row r="106">
      <c r="A106" s="8" t="s">
        <v>161</v>
      </c>
      <c r="B106" s="50" t="s">
        <v>151</v>
      </c>
      <c r="C106" s="12"/>
      <c r="L106" s="8"/>
    </row>
    <row r="107">
      <c r="A107" s="8" t="s">
        <v>162</v>
      </c>
      <c r="B107" s="50" t="s">
        <v>151</v>
      </c>
      <c r="C107" s="12"/>
      <c r="L107" s="8"/>
    </row>
    <row r="108">
      <c r="A108" s="8" t="s">
        <v>163</v>
      </c>
      <c r="B108" s="50" t="s">
        <v>151</v>
      </c>
      <c r="C108" s="12"/>
    </row>
    <row r="109">
      <c r="B109" s="50"/>
      <c r="C109" s="12"/>
    </row>
    <row r="110">
      <c r="B110" s="50"/>
      <c r="C110" s="12"/>
    </row>
    <row r="111">
      <c r="B111" s="50"/>
      <c r="C111" s="12"/>
    </row>
  </sheetData>
  <mergeCells count="5">
    <mergeCell ref="A1:L1"/>
    <mergeCell ref="A2:L2"/>
    <mergeCell ref="A3:L3"/>
    <mergeCell ref="A4:L4"/>
    <mergeCell ref="J22:K22"/>
  </mergeCells>
  <conditionalFormatting sqref="G15:G32 H15:H33">
    <cfRule type="cellIs" dxfId="0" priority="1" operator="equal">
      <formula>"No"</formula>
    </cfRule>
  </conditionalFormatting>
  <conditionalFormatting sqref="G15:G32 H15:H33">
    <cfRule type="cellIs" dxfId="1" priority="2" operator="equal">
      <formula>"Yes"</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4" width="11.88"/>
    <col customWidth="1" min="5" max="5" width="8.88"/>
    <col customWidth="1" min="6" max="11" width="18.25"/>
  </cols>
  <sheetData>
    <row r="1">
      <c r="A1" s="1" t="s">
        <v>164</v>
      </c>
    </row>
    <row r="2">
      <c r="A2" s="2" t="s">
        <v>1</v>
      </c>
    </row>
    <row r="3">
      <c r="A3" s="3" t="s">
        <v>165</v>
      </c>
    </row>
    <row r="4">
      <c r="A4" s="3" t="s">
        <v>3</v>
      </c>
    </row>
    <row r="5">
      <c r="A5" s="4"/>
      <c r="B5" s="4"/>
      <c r="C5" s="4"/>
      <c r="D5" s="4"/>
      <c r="E5" s="4"/>
      <c r="F5" s="4"/>
      <c r="G5" s="4"/>
      <c r="H5" s="4"/>
      <c r="I5" s="4"/>
      <c r="J5" s="5"/>
      <c r="K5" s="5"/>
      <c r="L5" s="5"/>
    </row>
    <row r="6">
      <c r="A6" s="6" t="s">
        <v>4</v>
      </c>
    </row>
    <row r="7">
      <c r="A7" s="7" t="s">
        <v>166</v>
      </c>
      <c r="B7" s="7"/>
      <c r="C7" s="7"/>
      <c r="D7" s="7"/>
      <c r="E7" s="7"/>
      <c r="F7" s="7"/>
      <c r="G7" s="7"/>
      <c r="H7" s="7"/>
      <c r="I7" s="7"/>
      <c r="J7" s="7"/>
      <c r="K7" s="7"/>
      <c r="L7" s="7"/>
    </row>
    <row r="8">
      <c r="A8" s="8" t="s">
        <v>6</v>
      </c>
    </row>
    <row r="9">
      <c r="A9" s="8" t="s">
        <v>7</v>
      </c>
    </row>
    <row r="10">
      <c r="A10" s="8" t="s">
        <v>8</v>
      </c>
    </row>
    <row r="11">
      <c r="A11" s="8" t="s">
        <v>9</v>
      </c>
    </row>
    <row r="14">
      <c r="A14" s="9" t="s">
        <v>10</v>
      </c>
      <c r="B14" s="10" t="s">
        <v>11</v>
      </c>
      <c r="C14" s="10" t="s">
        <v>12</v>
      </c>
      <c r="D14" s="10" t="s">
        <v>13</v>
      </c>
      <c r="F14" s="11" t="s">
        <v>14</v>
      </c>
      <c r="G14" s="11" t="s">
        <v>15</v>
      </c>
      <c r="H14" s="11" t="s">
        <v>16</v>
      </c>
      <c r="J14" s="11" t="s">
        <v>17</v>
      </c>
      <c r="K14" s="11" t="s">
        <v>18</v>
      </c>
      <c r="L14" s="11" t="s">
        <v>19</v>
      </c>
    </row>
    <row r="15">
      <c r="A15" s="12" t="s">
        <v>167</v>
      </c>
      <c r="B15" s="13">
        <v>45902.0</v>
      </c>
      <c r="C15" s="14" t="s">
        <v>56</v>
      </c>
      <c r="D15" s="15">
        <v>220.0</v>
      </c>
      <c r="F15" s="16" t="s">
        <v>21</v>
      </c>
      <c r="G15" s="17">
        <f t="shared" ref="G15:G32" si="1">SUMIF($C$15:$C$58,F15,$D$15:$D$58)</f>
        <v>0</v>
      </c>
      <c r="H15" s="18" t="s">
        <v>22</v>
      </c>
      <c r="J15" s="8" t="s">
        <v>23</v>
      </c>
      <c r="K15" s="19">
        <v>0.45</v>
      </c>
      <c r="L15" s="20">
        <f t="shared" ref="L15:L19" si="2">K15*$D$59</f>
        <v>921.15</v>
      </c>
      <c r="N15" s="21"/>
    </row>
    <row r="16">
      <c r="A16" s="12" t="s">
        <v>27</v>
      </c>
      <c r="B16" s="25" t="s">
        <v>168</v>
      </c>
      <c r="C16" s="23" t="s">
        <v>61</v>
      </c>
      <c r="D16" s="24">
        <v>170.0</v>
      </c>
      <c r="F16" s="16" t="s">
        <v>25</v>
      </c>
      <c r="G16" s="17">
        <f t="shared" si="1"/>
        <v>0</v>
      </c>
      <c r="H16" s="18" t="s">
        <v>22</v>
      </c>
      <c r="J16" s="8" t="s">
        <v>26</v>
      </c>
      <c r="K16" s="19">
        <v>0.25</v>
      </c>
      <c r="L16" s="20">
        <f t="shared" si="2"/>
        <v>511.75</v>
      </c>
      <c r="N16" s="21"/>
    </row>
    <row r="17">
      <c r="A17" s="12" t="s">
        <v>24</v>
      </c>
      <c r="B17" s="25" t="s">
        <v>169</v>
      </c>
      <c r="C17" s="23" t="s">
        <v>48</v>
      </c>
      <c r="D17" s="24">
        <v>102.0</v>
      </c>
      <c r="F17" s="16" t="s">
        <v>28</v>
      </c>
      <c r="G17" s="17">
        <f t="shared" si="1"/>
        <v>0</v>
      </c>
      <c r="H17" s="18" t="s">
        <v>22</v>
      </c>
      <c r="J17" s="8" t="s">
        <v>29</v>
      </c>
      <c r="K17" s="19">
        <v>0.15</v>
      </c>
      <c r="L17" s="20">
        <f t="shared" si="2"/>
        <v>307.05</v>
      </c>
      <c r="N17" s="21"/>
    </row>
    <row r="18">
      <c r="A18" s="12" t="s">
        <v>37</v>
      </c>
      <c r="B18" s="25" t="s">
        <v>34</v>
      </c>
      <c r="C18" s="23" t="s">
        <v>48</v>
      </c>
      <c r="D18" s="24">
        <v>95.0</v>
      </c>
      <c r="E18" s="8"/>
      <c r="F18" s="16" t="s">
        <v>31</v>
      </c>
      <c r="G18" s="17">
        <f t="shared" si="1"/>
        <v>80</v>
      </c>
      <c r="H18" s="18" t="s">
        <v>170</v>
      </c>
      <c r="J18" s="8" t="s">
        <v>32</v>
      </c>
      <c r="K18" s="19">
        <v>0.1</v>
      </c>
      <c r="L18" s="20">
        <f t="shared" si="2"/>
        <v>204.7</v>
      </c>
      <c r="N18" s="21"/>
    </row>
    <row r="19">
      <c r="A19" s="12" t="s">
        <v>54</v>
      </c>
      <c r="B19" s="25" t="s">
        <v>34</v>
      </c>
      <c r="C19" s="23" t="s">
        <v>38</v>
      </c>
      <c r="D19" s="24">
        <v>112.0</v>
      </c>
      <c r="E19" s="8"/>
      <c r="F19" s="16" t="s">
        <v>35</v>
      </c>
      <c r="G19" s="17">
        <f t="shared" si="1"/>
        <v>0</v>
      </c>
      <c r="H19" s="18" t="s">
        <v>22</v>
      </c>
      <c r="J19" s="8" t="s">
        <v>36</v>
      </c>
      <c r="K19" s="19">
        <v>0.05</v>
      </c>
      <c r="L19" s="20">
        <f t="shared" si="2"/>
        <v>102.35</v>
      </c>
      <c r="N19" s="21"/>
    </row>
    <row r="20">
      <c r="A20" s="12" t="s">
        <v>33</v>
      </c>
      <c r="B20" s="25" t="s">
        <v>40</v>
      </c>
      <c r="C20" s="23" t="s">
        <v>66</v>
      </c>
      <c r="D20" s="24">
        <v>75.0</v>
      </c>
      <c r="F20" s="16" t="s">
        <v>38</v>
      </c>
      <c r="G20" s="17">
        <f t="shared" si="1"/>
        <v>278</v>
      </c>
      <c r="H20" s="18" t="s">
        <v>170</v>
      </c>
      <c r="J20" s="8"/>
      <c r="K20" s="8"/>
      <c r="L20" s="8"/>
      <c r="N20" s="21"/>
    </row>
    <row r="21">
      <c r="A21" s="12" t="s">
        <v>30</v>
      </c>
      <c r="B21" s="25" t="s">
        <v>40</v>
      </c>
      <c r="C21" s="23" t="s">
        <v>61</v>
      </c>
      <c r="D21" s="24">
        <v>80.0</v>
      </c>
      <c r="F21" s="16" t="s">
        <v>41</v>
      </c>
      <c r="G21" s="17">
        <f t="shared" si="1"/>
        <v>60</v>
      </c>
      <c r="H21" s="18" t="s">
        <v>170</v>
      </c>
      <c r="J21" s="8"/>
      <c r="K21" s="8"/>
      <c r="L21" s="8"/>
      <c r="N21" s="21"/>
    </row>
    <row r="22">
      <c r="A22" s="12" t="s">
        <v>82</v>
      </c>
      <c r="B22" s="25" t="s">
        <v>43</v>
      </c>
      <c r="C22" s="23" t="s">
        <v>51</v>
      </c>
      <c r="D22" s="24">
        <v>66.0</v>
      </c>
      <c r="F22" s="16" t="s">
        <v>44</v>
      </c>
      <c r="G22" s="17">
        <f t="shared" si="1"/>
        <v>85</v>
      </c>
      <c r="H22" s="18" t="s">
        <v>170</v>
      </c>
      <c r="J22" s="26" t="s">
        <v>45</v>
      </c>
      <c r="K22" s="27"/>
      <c r="L22" s="8"/>
      <c r="N22" s="21"/>
    </row>
    <row r="23">
      <c r="A23" s="12" t="s">
        <v>171</v>
      </c>
      <c r="B23" s="25" t="s">
        <v>172</v>
      </c>
      <c r="C23" s="23" t="s">
        <v>66</v>
      </c>
      <c r="D23" s="24">
        <v>53.0</v>
      </c>
      <c r="F23" s="16" t="s">
        <v>48</v>
      </c>
      <c r="G23" s="17">
        <f t="shared" si="1"/>
        <v>344</v>
      </c>
      <c r="H23" s="18" t="s">
        <v>170</v>
      </c>
      <c r="J23" s="28">
        <v>1.0</v>
      </c>
      <c r="K23" s="28" t="s">
        <v>27</v>
      </c>
      <c r="L23" s="8" t="s">
        <v>61</v>
      </c>
      <c r="M23" s="29">
        <f t="shared" ref="M23:M26" si="3">L15</f>
        <v>921.15</v>
      </c>
      <c r="N23" s="21"/>
    </row>
    <row r="24">
      <c r="A24" s="12" t="s">
        <v>57</v>
      </c>
      <c r="B24" s="25" t="s">
        <v>172</v>
      </c>
      <c r="C24" s="23" t="s">
        <v>56</v>
      </c>
      <c r="D24" s="24">
        <v>55.0</v>
      </c>
      <c r="F24" s="16" t="s">
        <v>51</v>
      </c>
      <c r="G24" s="17">
        <f t="shared" si="1"/>
        <v>66</v>
      </c>
      <c r="H24" s="18" t="s">
        <v>170</v>
      </c>
      <c r="J24" s="30">
        <v>2.0</v>
      </c>
      <c r="K24" s="30" t="s">
        <v>52</v>
      </c>
      <c r="L24" s="8" t="s">
        <v>56</v>
      </c>
      <c r="M24" s="29">
        <f t="shared" si="3"/>
        <v>511.75</v>
      </c>
      <c r="N24" s="21"/>
    </row>
    <row r="25">
      <c r="A25" s="12" t="s">
        <v>69</v>
      </c>
      <c r="B25" s="25" t="s">
        <v>50</v>
      </c>
      <c r="C25" s="23" t="s">
        <v>66</v>
      </c>
      <c r="D25" s="24">
        <v>60.0</v>
      </c>
      <c r="F25" s="16" t="s">
        <v>53</v>
      </c>
      <c r="G25" s="17">
        <f t="shared" si="1"/>
        <v>0</v>
      </c>
      <c r="H25" s="18" t="s">
        <v>22</v>
      </c>
      <c r="J25" s="28">
        <v>3.0</v>
      </c>
      <c r="K25" s="28" t="s">
        <v>60</v>
      </c>
      <c r="L25" s="8" t="s">
        <v>38</v>
      </c>
      <c r="M25" s="29">
        <f t="shared" si="3"/>
        <v>307.05</v>
      </c>
      <c r="N25" s="21"/>
    </row>
    <row r="26">
      <c r="A26" s="12" t="s">
        <v>67</v>
      </c>
      <c r="B26" s="25" t="s">
        <v>55</v>
      </c>
      <c r="C26" s="23" t="s">
        <v>31</v>
      </c>
      <c r="D26" s="24">
        <v>64.0</v>
      </c>
      <c r="F26" s="16" t="s">
        <v>56</v>
      </c>
      <c r="G26" s="17">
        <f t="shared" si="1"/>
        <v>349</v>
      </c>
      <c r="H26" s="18" t="s">
        <v>170</v>
      </c>
      <c r="J26" s="30">
        <v>4.0</v>
      </c>
      <c r="K26" s="30" t="s">
        <v>167</v>
      </c>
      <c r="L26" s="8" t="s">
        <v>56</v>
      </c>
      <c r="M26" s="29">
        <f t="shared" si="3"/>
        <v>204.7</v>
      </c>
      <c r="N26" s="21"/>
    </row>
    <row r="27">
      <c r="A27" s="12" t="s">
        <v>46</v>
      </c>
      <c r="B27" s="25" t="s">
        <v>58</v>
      </c>
      <c r="C27" s="23" t="s">
        <v>38</v>
      </c>
      <c r="D27" s="24">
        <v>46.0</v>
      </c>
      <c r="F27" s="16" t="s">
        <v>59</v>
      </c>
      <c r="G27" s="17">
        <f t="shared" si="1"/>
        <v>50</v>
      </c>
      <c r="H27" s="18" t="s">
        <v>170</v>
      </c>
      <c r="J27" s="28" t="s">
        <v>173</v>
      </c>
      <c r="K27" s="28" t="s">
        <v>174</v>
      </c>
      <c r="L27" s="8" t="s">
        <v>59</v>
      </c>
      <c r="M27" s="29">
        <f>L19/2</f>
        <v>51.175</v>
      </c>
      <c r="N27" s="21"/>
    </row>
    <row r="28">
      <c r="A28" s="12" t="s">
        <v>74</v>
      </c>
      <c r="B28" s="25" t="s">
        <v>58</v>
      </c>
      <c r="C28" s="23" t="s">
        <v>48</v>
      </c>
      <c r="D28" s="24">
        <v>52.0</v>
      </c>
      <c r="F28" s="16" t="s">
        <v>61</v>
      </c>
      <c r="G28" s="17">
        <f t="shared" si="1"/>
        <v>250</v>
      </c>
      <c r="H28" s="18" t="s">
        <v>170</v>
      </c>
      <c r="J28" s="31" t="s">
        <v>173</v>
      </c>
      <c r="K28" s="31" t="s">
        <v>30</v>
      </c>
      <c r="L28" s="8" t="s">
        <v>61</v>
      </c>
      <c r="M28" s="29">
        <f>L19/2</f>
        <v>51.175</v>
      </c>
      <c r="N28" s="21"/>
    </row>
    <row r="29">
      <c r="A29" s="12" t="s">
        <v>77</v>
      </c>
      <c r="B29" s="25" t="s">
        <v>58</v>
      </c>
      <c r="C29" s="23" t="s">
        <v>68</v>
      </c>
      <c r="D29" s="24">
        <v>56.0</v>
      </c>
      <c r="F29" s="16" t="s">
        <v>63</v>
      </c>
      <c r="G29" s="17">
        <f t="shared" si="1"/>
        <v>115</v>
      </c>
      <c r="H29" s="18" t="s">
        <v>170</v>
      </c>
      <c r="J29" s="31"/>
      <c r="K29" s="31"/>
      <c r="N29" s="21"/>
    </row>
    <row r="30">
      <c r="A30" s="12" t="s">
        <v>89</v>
      </c>
      <c r="B30" s="25" t="s">
        <v>58</v>
      </c>
      <c r="C30" s="23" t="s">
        <v>44</v>
      </c>
      <c r="D30" s="24">
        <v>45.0</v>
      </c>
      <c r="F30" s="16" t="s">
        <v>66</v>
      </c>
      <c r="G30" s="17">
        <f t="shared" si="1"/>
        <v>250</v>
      </c>
      <c r="H30" s="18" t="s">
        <v>170</v>
      </c>
      <c r="J30" s="31"/>
      <c r="K30" s="31"/>
      <c r="N30" s="21"/>
    </row>
    <row r="31">
      <c r="A31" s="12" t="s">
        <v>175</v>
      </c>
      <c r="B31" s="25" t="s">
        <v>176</v>
      </c>
      <c r="C31" s="23" t="s">
        <v>66</v>
      </c>
      <c r="D31" s="24">
        <v>36.0</v>
      </c>
      <c r="F31" s="16" t="s">
        <v>68</v>
      </c>
      <c r="G31" s="17">
        <f t="shared" si="1"/>
        <v>111</v>
      </c>
      <c r="H31" s="18" t="s">
        <v>170</v>
      </c>
      <c r="K31" s="8"/>
      <c r="M31" s="32"/>
      <c r="N31" s="21"/>
    </row>
    <row r="32">
      <c r="A32" s="12" t="s">
        <v>76</v>
      </c>
      <c r="B32" s="25" t="s">
        <v>72</v>
      </c>
      <c r="C32" s="23" t="s">
        <v>38</v>
      </c>
      <c r="D32" s="24">
        <v>41.0</v>
      </c>
      <c r="F32" s="16" t="s">
        <v>70</v>
      </c>
      <c r="G32" s="33">
        <f t="shared" si="1"/>
        <v>9</v>
      </c>
      <c r="H32" s="18" t="s">
        <v>170</v>
      </c>
      <c r="I32" s="8"/>
      <c r="J32" s="8"/>
      <c r="K32" s="8"/>
      <c r="L32" s="8"/>
      <c r="N32" s="21"/>
    </row>
    <row r="33">
      <c r="A33" s="12" t="s">
        <v>177</v>
      </c>
      <c r="B33" s="25" t="s">
        <v>75</v>
      </c>
      <c r="C33" s="23" t="s">
        <v>38</v>
      </c>
      <c r="D33" s="24">
        <v>33.0</v>
      </c>
      <c r="F33" s="34" t="s">
        <v>73</v>
      </c>
      <c r="G33" s="35">
        <f>SUM(G15:G32)</f>
        <v>2047</v>
      </c>
      <c r="H33" s="36"/>
      <c r="I33" s="8"/>
      <c r="J33" s="8"/>
      <c r="K33" s="8"/>
      <c r="L33" s="8"/>
      <c r="N33" s="21"/>
    </row>
    <row r="34">
      <c r="A34" s="12" t="s">
        <v>62</v>
      </c>
      <c r="B34" s="25" t="s">
        <v>75</v>
      </c>
      <c r="C34" s="23" t="s">
        <v>56</v>
      </c>
      <c r="D34" s="24">
        <v>50.0</v>
      </c>
      <c r="F34" s="34"/>
      <c r="G34" s="37"/>
      <c r="H34" s="8"/>
      <c r="I34" s="8"/>
      <c r="J34" s="8"/>
      <c r="K34" s="8"/>
      <c r="L34" s="8"/>
      <c r="N34" s="21"/>
    </row>
    <row r="35">
      <c r="A35" s="12" t="s">
        <v>178</v>
      </c>
      <c r="B35" s="25" t="s">
        <v>75</v>
      </c>
      <c r="C35" s="23" t="s">
        <v>41</v>
      </c>
      <c r="D35" s="24">
        <v>41.0</v>
      </c>
      <c r="K35" s="8"/>
      <c r="L35" s="8"/>
      <c r="N35" s="21"/>
    </row>
    <row r="36">
      <c r="A36" s="8" t="s">
        <v>179</v>
      </c>
      <c r="B36" s="25" t="s">
        <v>79</v>
      </c>
      <c r="C36" s="23" t="s">
        <v>48</v>
      </c>
      <c r="D36" s="24">
        <v>35.0</v>
      </c>
      <c r="F36" s="38" t="s">
        <v>21</v>
      </c>
      <c r="G36" s="38" t="s">
        <v>25</v>
      </c>
      <c r="H36" s="38" t="s">
        <v>28</v>
      </c>
      <c r="I36" s="38" t="s">
        <v>31</v>
      </c>
      <c r="J36" s="38" t="s">
        <v>35</v>
      </c>
      <c r="K36" s="38" t="s">
        <v>38</v>
      </c>
      <c r="N36" s="21"/>
    </row>
    <row r="37">
      <c r="A37" s="12" t="s">
        <v>78</v>
      </c>
      <c r="B37" s="25" t="s">
        <v>81</v>
      </c>
      <c r="C37" s="23" t="s">
        <v>59</v>
      </c>
      <c r="D37" s="24">
        <v>35.0</v>
      </c>
      <c r="F37" s="12"/>
      <c r="G37" s="12"/>
      <c r="H37" s="12"/>
      <c r="I37" s="12" t="str">
        <f t="shared" ref="I37:I39" si="4">INDEX($A$15:$A$58,SMALL(IF($I$36=$C$15:$C$58,row($C$15:$C$58)-row($C$15)+1),row(1:1)))</f>
        <v>Jordan Spieth</v>
      </c>
      <c r="J37" s="12"/>
      <c r="K37" s="12" t="str">
        <f t="shared" ref="K37:K42" si="5">INDEX($A$15:$A$58,SMALL(IF($K$36=$C$15:$C$58,row($C$15:$C$58)-row($C$15)+1),row(1:1)))</f>
        <v>Collin Morikawa</v>
      </c>
      <c r="L37" s="8"/>
    </row>
    <row r="38">
      <c r="A38" s="12" t="s">
        <v>97</v>
      </c>
      <c r="B38" s="25" t="s">
        <v>81</v>
      </c>
      <c r="C38" s="23" t="s">
        <v>38</v>
      </c>
      <c r="D38" s="24">
        <v>31.0</v>
      </c>
      <c r="F38" s="12"/>
      <c r="G38" s="12"/>
      <c r="H38" s="12"/>
      <c r="I38" s="12" t="str">
        <f t="shared" si="4"/>
        <v>Brian Harman</v>
      </c>
      <c r="J38" s="12"/>
      <c r="K38" s="12" t="str">
        <f t="shared" si="5"/>
        <v>Tommy Fleetwood</v>
      </c>
    </row>
    <row r="39">
      <c r="A39" s="12" t="s">
        <v>180</v>
      </c>
      <c r="B39" s="25" t="s">
        <v>181</v>
      </c>
      <c r="C39" s="23" t="s">
        <v>48</v>
      </c>
      <c r="D39" s="24">
        <v>29.0</v>
      </c>
      <c r="F39" s="12"/>
      <c r="G39" s="12"/>
      <c r="H39" s="12"/>
      <c r="I39" s="12" t="str">
        <f t="shared" si="4"/>
        <v>Phil Mickelson</v>
      </c>
      <c r="J39" s="12"/>
      <c r="K39" s="12" t="str">
        <f t="shared" si="5"/>
        <v>Russell Henley</v>
      </c>
    </row>
    <row r="40">
      <c r="A40" s="12" t="s">
        <v>93</v>
      </c>
      <c r="B40" s="25" t="s">
        <v>92</v>
      </c>
      <c r="C40" s="23" t="s">
        <v>68</v>
      </c>
      <c r="D40" s="24">
        <v>25.0</v>
      </c>
      <c r="F40" s="12"/>
      <c r="G40" s="12"/>
      <c r="H40" s="12"/>
      <c r="I40" s="12"/>
      <c r="J40" s="12"/>
      <c r="K40" s="12" t="str">
        <f t="shared" si="5"/>
        <v>Robert McIntyre</v>
      </c>
    </row>
    <row r="41">
      <c r="A41" s="12" t="s">
        <v>125</v>
      </c>
      <c r="B41" s="25" t="s">
        <v>92</v>
      </c>
      <c r="C41" s="23" t="s">
        <v>68</v>
      </c>
      <c r="D41" s="24">
        <v>30.0</v>
      </c>
      <c r="F41" s="12"/>
      <c r="G41" s="12"/>
      <c r="H41" s="12"/>
      <c r="I41" s="12"/>
      <c r="J41" s="12"/>
      <c r="K41" s="12" t="str">
        <f t="shared" si="5"/>
        <v>Corey Conners</v>
      </c>
    </row>
    <row r="42">
      <c r="A42" s="12" t="s">
        <v>84</v>
      </c>
      <c r="B42" s="25" t="s">
        <v>92</v>
      </c>
      <c r="C42" s="23" t="s">
        <v>44</v>
      </c>
      <c r="D42" s="24">
        <v>25.0</v>
      </c>
      <c r="F42" s="12"/>
      <c r="G42" s="12"/>
      <c r="H42" s="12"/>
      <c r="I42" s="12"/>
      <c r="J42" s="12"/>
      <c r="K42" s="12" t="str">
        <f t="shared" si="5"/>
        <v>Patrick Reed</v>
      </c>
    </row>
    <row r="43">
      <c r="A43" s="12" t="s">
        <v>123</v>
      </c>
      <c r="B43" s="25" t="s">
        <v>92</v>
      </c>
      <c r="C43" s="23" t="s">
        <v>66</v>
      </c>
      <c r="D43" s="24">
        <v>16.0</v>
      </c>
      <c r="F43" s="12"/>
      <c r="G43" s="12"/>
      <c r="H43" s="12"/>
      <c r="I43" s="12"/>
      <c r="J43" s="12"/>
      <c r="K43" s="12"/>
    </row>
    <row r="44">
      <c r="A44" s="12" t="s">
        <v>131</v>
      </c>
      <c r="B44" s="25" t="s">
        <v>92</v>
      </c>
      <c r="C44" s="23" t="s">
        <v>63</v>
      </c>
      <c r="D44" s="24">
        <v>15.0</v>
      </c>
      <c r="F44" s="12"/>
      <c r="G44" s="12"/>
      <c r="H44" s="12"/>
      <c r="I44" s="12"/>
      <c r="J44" s="12"/>
      <c r="K44" s="12"/>
    </row>
    <row r="45">
      <c r="A45" s="12" t="s">
        <v>60</v>
      </c>
      <c r="B45" s="25" t="s">
        <v>92</v>
      </c>
      <c r="C45" s="23" t="s">
        <v>38</v>
      </c>
      <c r="D45" s="24">
        <v>15.0</v>
      </c>
      <c r="F45" s="12"/>
      <c r="G45" s="12"/>
      <c r="H45" s="12"/>
      <c r="I45" s="12"/>
      <c r="J45" s="12"/>
      <c r="K45" s="12"/>
    </row>
    <row r="46">
      <c r="A46" s="12" t="s">
        <v>122</v>
      </c>
      <c r="B46" s="25" t="s">
        <v>182</v>
      </c>
      <c r="C46" s="23" t="s">
        <v>44</v>
      </c>
      <c r="D46" s="24">
        <v>15.0</v>
      </c>
      <c r="F46" s="38" t="s">
        <v>41</v>
      </c>
      <c r="G46" s="38" t="s">
        <v>44</v>
      </c>
      <c r="H46" s="38" t="s">
        <v>48</v>
      </c>
      <c r="I46" s="38" t="s">
        <v>51</v>
      </c>
      <c r="J46" s="38" t="s">
        <v>53</v>
      </c>
      <c r="K46" s="38" t="s">
        <v>56</v>
      </c>
    </row>
    <row r="47">
      <c r="A47" s="12" t="s">
        <v>183</v>
      </c>
      <c r="B47" s="25" t="s">
        <v>182</v>
      </c>
      <c r="C47" s="23" t="s">
        <v>41</v>
      </c>
      <c r="D47" s="24">
        <v>19.0</v>
      </c>
      <c r="F47" s="12" t="str">
        <f t="shared" ref="F47:I47" si="6">INDEX($A$15:$A$58,SMALL(IF(F$46=$C$15:$C$58,row($C$15:$C$58)-row($C$15)+1),row(1:1)))</f>
        <v>Will Zalatoris</v>
      </c>
      <c r="G47" s="12" t="str">
        <f t="shared" si="6"/>
        <v>Patrick Cantlay</v>
      </c>
      <c r="H47" s="12" t="str">
        <f t="shared" si="6"/>
        <v>Jon Rahm</v>
      </c>
      <c r="I47" s="12" t="str">
        <f t="shared" si="6"/>
        <v>Justin Thomas</v>
      </c>
      <c r="J47" s="12"/>
      <c r="K47" s="12" t="str">
        <f t="shared" ref="K47:K51" si="8">INDEX($A$15:$A$58,SMALL(IF(K$46=$C$15:$C$58,row($C$15:$C$58)-row($C$15)+1),row(1:1)))</f>
        <v>Scottie Scheffler</v>
      </c>
    </row>
    <row r="48">
      <c r="A48" s="12" t="s">
        <v>52</v>
      </c>
      <c r="B48" s="25" t="s">
        <v>182</v>
      </c>
      <c r="C48" s="23" t="s">
        <v>56</v>
      </c>
      <c r="D48" s="24">
        <v>13.0</v>
      </c>
      <c r="F48" s="12" t="str">
        <f t="shared" ref="F48:H48" si="7">INDEX($A$15:$A$58,SMALL(IF(F$46=$C$15:$C$58,row($C$15:$C$58)-row($C$15)+1),row(2:2)))</f>
        <v>Tom Kim</v>
      </c>
      <c r="G48" s="12" t="str">
        <f t="shared" si="7"/>
        <v>Sepp Straka</v>
      </c>
      <c r="H48" s="12" t="str">
        <f t="shared" si="7"/>
        <v>Ludvig Aberg</v>
      </c>
      <c r="I48" s="12"/>
      <c r="J48" s="12"/>
      <c r="K48" s="12" t="str">
        <f t="shared" si="8"/>
        <v>Hideki Matsuyama</v>
      </c>
    </row>
    <row r="49">
      <c r="A49" s="12" t="s">
        <v>184</v>
      </c>
      <c r="B49" s="25" t="s">
        <v>182</v>
      </c>
      <c r="C49" s="23" t="s">
        <v>48</v>
      </c>
      <c r="D49" s="24">
        <v>15.0</v>
      </c>
      <c r="F49" s="12"/>
      <c r="G49" s="12"/>
      <c r="H49" s="12" t="str">
        <f t="shared" ref="H49:H54" si="9">INDEX($A$15:$A$58,SMALL(IF(H$46=$C$15:$C$58,row($C$15:$C$58)-row($C$15)+1),row(3:3)))</f>
        <v>Shane Lowry</v>
      </c>
      <c r="I49" s="12"/>
      <c r="J49" s="12"/>
      <c r="K49" s="12" t="str">
        <f t="shared" si="8"/>
        <v>Min Woo Lee</v>
      </c>
    </row>
    <row r="50">
      <c r="A50" s="12" t="s">
        <v>174</v>
      </c>
      <c r="B50" s="25" t="s">
        <v>182</v>
      </c>
      <c r="C50" s="23" t="s">
        <v>59</v>
      </c>
      <c r="D50" s="24">
        <v>15.0</v>
      </c>
      <c r="F50" s="12"/>
      <c r="G50" s="12"/>
      <c r="H50" s="12" t="str">
        <f t="shared" si="9"/>
        <v>Cameron Smith</v>
      </c>
      <c r="I50" s="12"/>
      <c r="J50" s="12"/>
      <c r="K50" s="12" t="str">
        <f t="shared" si="8"/>
        <v>Justin Rose</v>
      </c>
      <c r="L50" s="12"/>
    </row>
    <row r="51">
      <c r="A51" s="12" t="s">
        <v>102</v>
      </c>
      <c r="B51" s="25" t="s">
        <v>182</v>
      </c>
      <c r="C51" s="23" t="s">
        <v>56</v>
      </c>
      <c r="D51" s="24">
        <v>11.0</v>
      </c>
      <c r="F51" s="12"/>
      <c r="G51" s="12"/>
      <c r="H51" s="12" t="str">
        <f t="shared" si="9"/>
        <v>Tony Finau</v>
      </c>
      <c r="I51" s="12"/>
      <c r="J51" s="12"/>
      <c r="K51" s="12" t="str">
        <f t="shared" si="8"/>
        <v>Daniel Berger</v>
      </c>
      <c r="L51" s="12"/>
    </row>
    <row r="52">
      <c r="A52" s="12" t="s">
        <v>109</v>
      </c>
      <c r="B52" s="25" t="s">
        <v>182</v>
      </c>
      <c r="C52" s="23" t="s">
        <v>31</v>
      </c>
      <c r="D52" s="24">
        <v>11.0</v>
      </c>
      <c r="F52" s="12"/>
      <c r="G52" s="12"/>
      <c r="H52" s="12" t="str">
        <f t="shared" si="9"/>
        <v>Sahith Theegala</v>
      </c>
      <c r="I52" s="12"/>
      <c r="J52" s="12"/>
      <c r="K52" s="12"/>
      <c r="L52" s="12"/>
    </row>
    <row r="53">
      <c r="A53" s="39" t="s">
        <v>42</v>
      </c>
      <c r="B53" s="40" t="s">
        <v>185</v>
      </c>
      <c r="C53" s="23" t="s">
        <v>48</v>
      </c>
      <c r="D53" s="23">
        <v>9.0</v>
      </c>
      <c r="F53" s="12"/>
      <c r="G53" s="12"/>
      <c r="H53" s="12" t="str">
        <f t="shared" si="9"/>
        <v>Matt Fitzpatrick</v>
      </c>
      <c r="I53" s="12"/>
      <c r="J53" s="12"/>
      <c r="K53" s="12"/>
      <c r="L53" s="12"/>
    </row>
    <row r="54">
      <c r="A54" s="39" t="s">
        <v>80</v>
      </c>
      <c r="B54" s="40" t="s">
        <v>185</v>
      </c>
      <c r="C54" s="23" t="s">
        <v>70</v>
      </c>
      <c r="D54" s="23">
        <v>9.0</v>
      </c>
      <c r="F54" s="12"/>
      <c r="G54" s="12"/>
      <c r="H54" s="12" t="str">
        <f t="shared" si="9"/>
        <v>Sam Burns</v>
      </c>
      <c r="I54" s="12"/>
      <c r="J54" s="12"/>
      <c r="K54" s="12"/>
      <c r="L54" s="8"/>
    </row>
    <row r="55">
      <c r="A55" s="39" t="s">
        <v>88</v>
      </c>
      <c r="B55" s="40" t="s">
        <v>185</v>
      </c>
      <c r="C55" s="23" t="s">
        <v>66</v>
      </c>
      <c r="D55" s="23">
        <v>10.0</v>
      </c>
      <c r="L55" s="8"/>
    </row>
    <row r="56">
      <c r="A56" s="8" t="s">
        <v>96</v>
      </c>
      <c r="B56" s="40" t="s">
        <v>185</v>
      </c>
      <c r="C56" s="23" t="s">
        <v>48</v>
      </c>
      <c r="D56" s="23">
        <v>7.0</v>
      </c>
      <c r="E56" s="41"/>
      <c r="L56" s="42"/>
      <c r="M56" s="41"/>
      <c r="N56" s="41"/>
      <c r="O56" s="41"/>
      <c r="P56" s="41"/>
      <c r="Q56" s="41"/>
      <c r="R56" s="41"/>
      <c r="S56" s="41"/>
      <c r="T56" s="41"/>
      <c r="U56" s="41"/>
      <c r="V56" s="41"/>
      <c r="W56" s="41"/>
      <c r="X56" s="41"/>
      <c r="Y56" s="41"/>
      <c r="Z56" s="41"/>
    </row>
    <row r="57">
      <c r="A57" s="8" t="s">
        <v>186</v>
      </c>
      <c r="B57" s="40" t="s">
        <v>185</v>
      </c>
      <c r="C57" s="23" t="s">
        <v>31</v>
      </c>
      <c r="D57" s="23">
        <v>5.0</v>
      </c>
      <c r="F57" s="38" t="s">
        <v>59</v>
      </c>
      <c r="G57" s="38" t="s">
        <v>61</v>
      </c>
      <c r="H57" s="38" t="s">
        <v>63</v>
      </c>
      <c r="I57" s="38" t="s">
        <v>66</v>
      </c>
      <c r="J57" s="38" t="s">
        <v>68</v>
      </c>
      <c r="K57" s="38" t="s">
        <v>70</v>
      </c>
      <c r="L57" s="8"/>
    </row>
    <row r="58">
      <c r="A58" s="43" t="s">
        <v>103</v>
      </c>
      <c r="B58" s="44" t="s">
        <v>187</v>
      </c>
      <c r="C58" s="45" t="s">
        <v>63</v>
      </c>
      <c r="D58" s="45">
        <v>100.0</v>
      </c>
      <c r="F58" s="12" t="str">
        <f t="shared" ref="F58:K58" si="10">INDEX($A$15:$A$58,SMALL(IF(F$57=$C$15:$C$58,row($C$15:$C$58)-row($C$15)+1),row(1:1)))</f>
        <v>Akshay Bhatia</v>
      </c>
      <c r="G58" s="12" t="str">
        <f t="shared" si="10"/>
        <v>Rory McIlroy</v>
      </c>
      <c r="H58" s="12" t="str">
        <f t="shared" si="10"/>
        <v>Sergio Garcia</v>
      </c>
      <c r="I58" s="12" t="str">
        <f t="shared" si="10"/>
        <v>Xander Schauffele</v>
      </c>
      <c r="J58" s="12" t="str">
        <f t="shared" si="10"/>
        <v>Viktor Hovland</v>
      </c>
      <c r="K58" s="12" t="str">
        <f t="shared" si="10"/>
        <v>Adam Scott</v>
      </c>
      <c r="L58" s="8"/>
    </row>
    <row r="59">
      <c r="A59" s="12"/>
      <c r="B59" s="46"/>
      <c r="C59" s="34" t="s">
        <v>104</v>
      </c>
      <c r="D59" s="37">
        <f>sum(D15:D58)</f>
        <v>2047</v>
      </c>
      <c r="F59" s="12" t="str">
        <f t="shared" ref="F59:J59" si="11">INDEX($A$15:$A$58,SMALL(IF(F$57=$C$15:$C$58,row($C$15:$C$58)-row($C$15)+1),row(2:2)))</f>
        <v>Sungjae Im</v>
      </c>
      <c r="G59" s="12" t="str">
        <f t="shared" si="11"/>
        <v>Bryson DeChambeau</v>
      </c>
      <c r="H59" s="12" t="str">
        <f t="shared" si="11"/>
        <v>The Field</v>
      </c>
      <c r="I59" s="12" t="str">
        <f t="shared" si="11"/>
        <v>Joaquin Niemann</v>
      </c>
      <c r="J59" s="12" t="str">
        <f t="shared" si="11"/>
        <v>Jason Day</v>
      </c>
      <c r="K59" s="12"/>
      <c r="L59" s="8"/>
    </row>
    <row r="60">
      <c r="A60" s="47" t="s">
        <v>105</v>
      </c>
      <c r="B60" s="47"/>
      <c r="C60" s="18" t="s">
        <v>106</v>
      </c>
      <c r="D60" s="36" t="str">
        <f>if(G33-D59=0,"No","Yes")</f>
        <v>No</v>
      </c>
      <c r="F60" s="12"/>
      <c r="G60" s="12"/>
      <c r="H60" s="12"/>
      <c r="I60" s="12" t="str">
        <f t="shared" ref="I60:J60" si="12">INDEX($A$15:$A$58,SMALL(IF(I$57=$C$15:$C$58,row($C$15:$C$58)-row($C$15)+1),row(3:3)))</f>
        <v>Brooks Koepka</v>
      </c>
      <c r="J60" s="12" t="str">
        <f t="shared" si="12"/>
        <v>Wyndham Clark</v>
      </c>
      <c r="K60" s="12"/>
      <c r="L60" s="8"/>
    </row>
    <row r="61">
      <c r="A61" s="48" t="s">
        <v>188</v>
      </c>
      <c r="B61" s="46" t="s">
        <v>185</v>
      </c>
      <c r="C61" s="12" t="s">
        <v>63</v>
      </c>
      <c r="F61" s="12"/>
      <c r="G61" s="12"/>
      <c r="H61" s="12"/>
      <c r="I61" s="12" t="str">
        <f t="shared" ref="I61:I63" si="13">INDEX($A$15:$A$58,SMALL(IF(I$57=$C$15:$C$58,row($C$15:$C$58)-row($C$15)+1),row(4:4)))</f>
        <v>Tyrrell Hatton</v>
      </c>
      <c r="J61" s="12"/>
      <c r="K61" s="12"/>
      <c r="L61" s="8"/>
    </row>
    <row r="62">
      <c r="A62" s="48" t="s">
        <v>189</v>
      </c>
      <c r="B62" s="46" t="s">
        <v>111</v>
      </c>
      <c r="C62" s="12" t="s">
        <v>63</v>
      </c>
      <c r="F62" s="12"/>
      <c r="G62" s="12"/>
      <c r="H62" s="12"/>
      <c r="I62" s="12" t="str">
        <f t="shared" si="13"/>
        <v>Dustin Johnson</v>
      </c>
      <c r="J62" s="12"/>
      <c r="K62" s="12"/>
      <c r="L62" s="8"/>
    </row>
    <row r="63">
      <c r="A63" s="48" t="s">
        <v>190</v>
      </c>
      <c r="B63" s="46" t="s">
        <v>111</v>
      </c>
      <c r="C63" s="12" t="s">
        <v>63</v>
      </c>
      <c r="F63" s="12"/>
      <c r="G63" s="12"/>
      <c r="H63" s="12"/>
      <c r="I63" s="12" t="str">
        <f t="shared" si="13"/>
        <v>JJ Spaun</v>
      </c>
      <c r="J63" s="12"/>
      <c r="K63" s="12"/>
      <c r="L63" s="8"/>
    </row>
    <row r="64">
      <c r="A64" s="48" t="s">
        <v>191</v>
      </c>
      <c r="B64" s="46" t="s">
        <v>111</v>
      </c>
      <c r="C64" s="12" t="s">
        <v>63</v>
      </c>
      <c r="F64" s="12"/>
      <c r="G64" s="12"/>
      <c r="H64" s="12"/>
      <c r="I64" s="12"/>
      <c r="J64" s="12"/>
      <c r="K64" s="12"/>
      <c r="L64" s="8"/>
    </row>
    <row r="65">
      <c r="A65" s="48" t="s">
        <v>113</v>
      </c>
      <c r="B65" s="46" t="s">
        <v>111</v>
      </c>
      <c r="C65" s="12" t="s">
        <v>63</v>
      </c>
      <c r="F65" s="12"/>
      <c r="G65" s="12"/>
      <c r="H65" s="12"/>
      <c r="I65" s="12"/>
      <c r="J65" s="12"/>
      <c r="K65" s="12"/>
      <c r="L65" s="8"/>
    </row>
    <row r="66">
      <c r="A66" s="48" t="s">
        <v>192</v>
      </c>
      <c r="B66" s="46" t="s">
        <v>111</v>
      </c>
      <c r="C66" s="12" t="s">
        <v>63</v>
      </c>
      <c r="G66" s="8"/>
      <c r="H66" s="8"/>
      <c r="I66" s="8"/>
      <c r="J66" s="8"/>
      <c r="K66" s="8"/>
      <c r="L66" s="8"/>
    </row>
    <row r="67">
      <c r="A67" s="48" t="s">
        <v>101</v>
      </c>
      <c r="B67" s="46" t="s">
        <v>111</v>
      </c>
      <c r="C67" s="12" t="s">
        <v>63</v>
      </c>
      <c r="H67" s="8"/>
      <c r="I67" s="8"/>
      <c r="J67" s="8"/>
      <c r="K67" s="8"/>
      <c r="L67" s="8"/>
    </row>
    <row r="68">
      <c r="A68" s="48" t="s">
        <v>193</v>
      </c>
      <c r="B68" s="46" t="s">
        <v>194</v>
      </c>
      <c r="C68" s="12" t="s">
        <v>63</v>
      </c>
      <c r="G68" s="8"/>
      <c r="H68" s="8"/>
      <c r="I68" s="8"/>
      <c r="J68" s="8"/>
      <c r="K68" s="8"/>
      <c r="L68" s="8"/>
    </row>
    <row r="69">
      <c r="A69" s="48" t="s">
        <v>195</v>
      </c>
      <c r="B69" s="46" t="s">
        <v>194</v>
      </c>
      <c r="C69" s="12" t="s">
        <v>63</v>
      </c>
      <c r="F69" s="8"/>
      <c r="G69" s="8"/>
      <c r="H69" s="8"/>
      <c r="I69" s="8"/>
      <c r="J69" s="8"/>
      <c r="K69" s="8"/>
      <c r="L69" s="8"/>
    </row>
    <row r="70">
      <c r="A70" s="48" t="s">
        <v>124</v>
      </c>
      <c r="B70" s="46" t="s">
        <v>194</v>
      </c>
      <c r="C70" s="12" t="s">
        <v>63</v>
      </c>
      <c r="F70" s="8"/>
      <c r="G70" s="8"/>
      <c r="H70" s="8"/>
      <c r="I70" s="8"/>
      <c r="J70" s="8"/>
      <c r="K70" s="8"/>
      <c r="L70" s="8"/>
    </row>
    <row r="71">
      <c r="A71" s="48" t="s">
        <v>39</v>
      </c>
      <c r="B71" s="46" t="s">
        <v>194</v>
      </c>
      <c r="C71" s="12" t="s">
        <v>63</v>
      </c>
      <c r="F71" s="8"/>
      <c r="G71" s="8"/>
      <c r="H71" s="8"/>
      <c r="I71" s="8"/>
      <c r="J71" s="8"/>
      <c r="K71" s="8"/>
      <c r="L71" s="8"/>
    </row>
    <row r="72">
      <c r="A72" s="48" t="s">
        <v>196</v>
      </c>
      <c r="B72" s="46" t="s">
        <v>197</v>
      </c>
      <c r="C72" s="12" t="s">
        <v>63</v>
      </c>
      <c r="F72" s="8"/>
      <c r="G72" s="8"/>
      <c r="H72" s="8"/>
      <c r="I72" s="8"/>
      <c r="J72" s="8"/>
      <c r="K72" s="8"/>
      <c r="L72" s="8"/>
    </row>
    <row r="73">
      <c r="A73" s="48" t="s">
        <v>83</v>
      </c>
      <c r="B73" s="46" t="s">
        <v>197</v>
      </c>
      <c r="C73" s="12" t="s">
        <v>63</v>
      </c>
      <c r="F73" s="8"/>
      <c r="G73" s="8"/>
      <c r="H73" s="8"/>
      <c r="I73" s="8"/>
      <c r="J73" s="8"/>
      <c r="K73" s="8"/>
      <c r="L73" s="8"/>
    </row>
    <row r="74">
      <c r="A74" s="48" t="s">
        <v>112</v>
      </c>
      <c r="B74" s="46" t="s">
        <v>197</v>
      </c>
      <c r="C74" s="12" t="s">
        <v>63</v>
      </c>
      <c r="F74" s="8"/>
      <c r="G74" s="8"/>
      <c r="H74" s="8"/>
      <c r="I74" s="8"/>
      <c r="J74" s="8"/>
      <c r="K74" s="8"/>
      <c r="L74" s="8"/>
    </row>
    <row r="75">
      <c r="A75" s="48" t="s">
        <v>198</v>
      </c>
      <c r="B75" s="46" t="s">
        <v>199</v>
      </c>
      <c r="C75" s="12" t="s">
        <v>63</v>
      </c>
      <c r="F75" s="8"/>
      <c r="G75" s="8"/>
      <c r="H75" s="8"/>
      <c r="I75" s="8"/>
      <c r="J75" s="8"/>
      <c r="K75" s="8"/>
      <c r="L75" s="8"/>
    </row>
    <row r="76">
      <c r="A76" s="48" t="s">
        <v>98</v>
      </c>
      <c r="B76" s="46" t="s">
        <v>199</v>
      </c>
      <c r="C76" s="12" t="s">
        <v>63</v>
      </c>
      <c r="F76" s="8"/>
      <c r="G76" s="8"/>
      <c r="H76" s="8"/>
      <c r="I76" s="8"/>
      <c r="J76" s="8"/>
      <c r="K76" s="8"/>
      <c r="L76" s="8"/>
    </row>
    <row r="77">
      <c r="A77" s="48" t="s">
        <v>200</v>
      </c>
      <c r="B77" s="46" t="s">
        <v>201</v>
      </c>
      <c r="C77" s="12" t="s">
        <v>63</v>
      </c>
      <c r="F77" s="8"/>
      <c r="G77" s="8"/>
      <c r="H77" s="8"/>
      <c r="I77" s="8"/>
      <c r="J77" s="8"/>
      <c r="K77" s="8"/>
      <c r="L77" s="8"/>
    </row>
    <row r="78">
      <c r="A78" s="48" t="s">
        <v>114</v>
      </c>
      <c r="B78" s="46" t="s">
        <v>201</v>
      </c>
      <c r="C78" s="12" t="s">
        <v>63</v>
      </c>
      <c r="F78" s="8"/>
      <c r="G78" s="8"/>
      <c r="H78" s="8"/>
      <c r="I78" s="8"/>
      <c r="J78" s="8"/>
      <c r="K78" s="8"/>
      <c r="L78" s="8"/>
    </row>
    <row r="79">
      <c r="A79" s="48" t="s">
        <v>130</v>
      </c>
      <c r="B79" s="46" t="s">
        <v>201</v>
      </c>
      <c r="C79" s="12" t="s">
        <v>63</v>
      </c>
      <c r="F79" s="8"/>
      <c r="G79" s="8"/>
      <c r="H79" s="8"/>
      <c r="I79" s="8"/>
      <c r="J79" s="8"/>
      <c r="K79" s="8"/>
      <c r="L79" s="8"/>
    </row>
    <row r="80">
      <c r="A80" s="48" t="s">
        <v>202</v>
      </c>
      <c r="B80" s="46" t="s">
        <v>203</v>
      </c>
      <c r="C80" s="12" t="s">
        <v>63</v>
      </c>
      <c r="F80" s="8"/>
      <c r="G80" s="8"/>
      <c r="H80" s="8"/>
      <c r="I80" s="8"/>
      <c r="J80" s="8"/>
      <c r="K80" s="8"/>
      <c r="L80" s="8"/>
    </row>
    <row r="81">
      <c r="A81" s="48" t="s">
        <v>204</v>
      </c>
      <c r="B81" s="46" t="s">
        <v>203</v>
      </c>
      <c r="C81" s="12" t="s">
        <v>63</v>
      </c>
      <c r="F81" s="8"/>
      <c r="G81" s="8"/>
      <c r="H81" s="8"/>
      <c r="I81" s="8"/>
      <c r="J81" s="8"/>
      <c r="K81" s="8"/>
      <c r="L81" s="8"/>
    </row>
    <row r="82">
      <c r="A82" s="48" t="s">
        <v>148</v>
      </c>
      <c r="B82" s="46" t="s">
        <v>203</v>
      </c>
      <c r="C82" s="12" t="s">
        <v>63</v>
      </c>
      <c r="F82" s="8"/>
      <c r="G82" s="8"/>
      <c r="H82" s="8"/>
      <c r="I82" s="8"/>
      <c r="J82" s="8"/>
      <c r="K82" s="8"/>
      <c r="L82" s="8"/>
    </row>
    <row r="83">
      <c r="A83" s="48" t="s">
        <v>205</v>
      </c>
      <c r="B83" s="46" t="s">
        <v>203</v>
      </c>
      <c r="C83" s="12" t="s">
        <v>63</v>
      </c>
      <c r="F83" s="8"/>
      <c r="G83" s="8"/>
      <c r="H83" s="8"/>
      <c r="I83" s="8"/>
      <c r="J83" s="8"/>
      <c r="K83" s="8"/>
      <c r="L83" s="8"/>
    </row>
    <row r="84">
      <c r="A84" s="48" t="s">
        <v>128</v>
      </c>
      <c r="B84" s="46" t="s">
        <v>203</v>
      </c>
      <c r="C84" s="12" t="s">
        <v>63</v>
      </c>
      <c r="F84" s="8"/>
      <c r="G84" s="8"/>
      <c r="H84" s="8"/>
      <c r="I84" s="8"/>
      <c r="J84" s="8"/>
      <c r="K84" s="8"/>
      <c r="L84" s="8"/>
    </row>
    <row r="85">
      <c r="A85" s="48" t="s">
        <v>206</v>
      </c>
      <c r="B85" s="46" t="s">
        <v>203</v>
      </c>
      <c r="C85" s="12" t="s">
        <v>63</v>
      </c>
      <c r="F85" s="8"/>
      <c r="G85" s="8"/>
      <c r="H85" s="8"/>
      <c r="I85" s="8"/>
      <c r="J85" s="8"/>
      <c r="K85" s="8"/>
      <c r="L85" s="8"/>
    </row>
    <row r="86">
      <c r="A86" s="48" t="s">
        <v>207</v>
      </c>
      <c r="B86" s="46" t="s">
        <v>136</v>
      </c>
      <c r="C86" s="12" t="s">
        <v>63</v>
      </c>
      <c r="F86" s="8"/>
      <c r="G86" s="8"/>
      <c r="H86" s="8"/>
      <c r="I86" s="8"/>
      <c r="J86" s="8"/>
      <c r="K86" s="8"/>
      <c r="L86" s="8"/>
    </row>
    <row r="87">
      <c r="A87" s="48" t="s">
        <v>208</v>
      </c>
      <c r="B87" s="46" t="s">
        <v>136</v>
      </c>
      <c r="C87" s="12" t="s">
        <v>63</v>
      </c>
      <c r="F87" s="8"/>
      <c r="G87" s="8"/>
      <c r="H87" s="8"/>
      <c r="I87" s="8"/>
      <c r="J87" s="8"/>
      <c r="K87" s="8"/>
      <c r="L87" s="8"/>
    </row>
    <row r="88">
      <c r="A88" s="48" t="s">
        <v>209</v>
      </c>
      <c r="B88" s="46" t="s">
        <v>136</v>
      </c>
      <c r="C88" s="12" t="s">
        <v>63</v>
      </c>
      <c r="F88" s="8"/>
      <c r="G88" s="8"/>
      <c r="H88" s="8"/>
      <c r="I88" s="8"/>
      <c r="J88" s="8"/>
      <c r="K88" s="8"/>
      <c r="L88" s="8"/>
    </row>
    <row r="89">
      <c r="A89" s="48" t="s">
        <v>132</v>
      </c>
      <c r="B89" s="46" t="s">
        <v>210</v>
      </c>
      <c r="C89" s="12" t="s">
        <v>63</v>
      </c>
      <c r="F89" s="8"/>
      <c r="G89" s="8"/>
      <c r="H89" s="8"/>
      <c r="I89" s="8"/>
      <c r="J89" s="8"/>
      <c r="K89" s="8"/>
      <c r="L89" s="8"/>
    </row>
    <row r="90">
      <c r="A90" s="48" t="s">
        <v>211</v>
      </c>
      <c r="B90" s="46" t="s">
        <v>210</v>
      </c>
      <c r="C90" s="12" t="s">
        <v>63</v>
      </c>
      <c r="F90" s="8"/>
      <c r="G90" s="8"/>
      <c r="H90" s="8"/>
      <c r="I90" s="8"/>
      <c r="J90" s="8"/>
      <c r="K90" s="8"/>
      <c r="L90" s="8"/>
    </row>
    <row r="91">
      <c r="A91" s="48" t="s">
        <v>212</v>
      </c>
      <c r="B91" s="46" t="s">
        <v>142</v>
      </c>
      <c r="C91" s="12" t="s">
        <v>63</v>
      </c>
      <c r="F91" s="8"/>
      <c r="G91" s="8"/>
      <c r="H91" s="8"/>
      <c r="I91" s="8"/>
      <c r="J91" s="8"/>
      <c r="K91" s="8"/>
      <c r="L91" s="8"/>
    </row>
    <row r="92">
      <c r="A92" s="48" t="s">
        <v>213</v>
      </c>
      <c r="B92" s="46" t="s">
        <v>142</v>
      </c>
      <c r="C92" s="12" t="s">
        <v>63</v>
      </c>
      <c r="F92" s="8"/>
      <c r="G92" s="8"/>
      <c r="H92" s="8"/>
      <c r="I92" s="8"/>
      <c r="J92" s="8"/>
      <c r="K92" s="8"/>
      <c r="L92" s="8"/>
    </row>
    <row r="93">
      <c r="A93" s="49" t="s">
        <v>214</v>
      </c>
      <c r="B93" s="46" t="s">
        <v>142</v>
      </c>
      <c r="C93" s="12" t="s">
        <v>63</v>
      </c>
      <c r="F93" s="8"/>
      <c r="G93" s="8"/>
      <c r="H93" s="8"/>
      <c r="I93" s="8"/>
      <c r="J93" s="8"/>
      <c r="K93" s="8"/>
      <c r="L93" s="8"/>
    </row>
    <row r="94">
      <c r="A94" s="49" t="s">
        <v>215</v>
      </c>
      <c r="B94" s="46" t="s">
        <v>142</v>
      </c>
      <c r="C94" s="12" t="s">
        <v>63</v>
      </c>
      <c r="F94" s="8"/>
      <c r="G94" s="8"/>
      <c r="H94" s="8"/>
      <c r="I94" s="8"/>
      <c r="J94" s="8"/>
      <c r="K94" s="8"/>
      <c r="L94" s="8"/>
    </row>
    <row r="95">
      <c r="A95" s="49" t="s">
        <v>144</v>
      </c>
      <c r="B95" s="46" t="s">
        <v>142</v>
      </c>
      <c r="C95" s="12" t="s">
        <v>63</v>
      </c>
      <c r="F95" s="8"/>
      <c r="G95" s="8"/>
      <c r="H95" s="8"/>
      <c r="I95" s="8"/>
      <c r="J95" s="8"/>
      <c r="K95" s="8"/>
      <c r="L95" s="8"/>
    </row>
    <row r="96">
      <c r="A96" s="49" t="s">
        <v>216</v>
      </c>
      <c r="B96" s="46" t="s">
        <v>149</v>
      </c>
      <c r="C96" s="12" t="s">
        <v>63</v>
      </c>
      <c r="F96" s="8"/>
      <c r="G96" s="8"/>
      <c r="H96" s="8"/>
      <c r="I96" s="8"/>
      <c r="J96" s="8"/>
      <c r="K96" s="8"/>
      <c r="L96" s="8"/>
    </row>
    <row r="97">
      <c r="A97" s="49" t="s">
        <v>217</v>
      </c>
      <c r="B97" s="46" t="s">
        <v>149</v>
      </c>
      <c r="C97" s="12" t="s">
        <v>63</v>
      </c>
      <c r="F97" s="8"/>
      <c r="G97" s="8"/>
      <c r="H97" s="8"/>
      <c r="I97" s="8"/>
      <c r="J97" s="8"/>
      <c r="K97" s="8"/>
      <c r="L97" s="8"/>
    </row>
    <row r="98">
      <c r="A98" s="49" t="s">
        <v>158</v>
      </c>
      <c r="B98" s="46" t="s">
        <v>149</v>
      </c>
      <c r="C98" s="12" t="s">
        <v>63</v>
      </c>
      <c r="F98" s="8"/>
      <c r="G98" s="8"/>
      <c r="H98" s="8"/>
      <c r="I98" s="8"/>
      <c r="J98" s="8"/>
      <c r="K98" s="8"/>
      <c r="L98" s="8"/>
    </row>
    <row r="99">
      <c r="A99" s="49" t="s">
        <v>147</v>
      </c>
      <c r="B99" s="46" t="s">
        <v>149</v>
      </c>
      <c r="C99" s="12" t="s">
        <v>63</v>
      </c>
      <c r="F99" s="8"/>
      <c r="G99" s="8"/>
      <c r="H99" s="8"/>
      <c r="I99" s="8"/>
      <c r="J99" s="8"/>
      <c r="K99" s="8"/>
      <c r="L99" s="8"/>
    </row>
    <row r="100">
      <c r="A100" s="49" t="s">
        <v>150</v>
      </c>
      <c r="B100" s="50" t="s">
        <v>151</v>
      </c>
      <c r="C100" s="12" t="s">
        <v>63</v>
      </c>
      <c r="F100" s="8"/>
      <c r="G100" s="8"/>
      <c r="H100" s="8"/>
      <c r="I100" s="8"/>
      <c r="J100" s="8"/>
      <c r="K100" s="8"/>
      <c r="L100" s="8"/>
    </row>
    <row r="101">
      <c r="A101" s="49" t="s">
        <v>156</v>
      </c>
      <c r="B101" s="50" t="s">
        <v>151</v>
      </c>
      <c r="C101" s="12" t="s">
        <v>63</v>
      </c>
      <c r="F101" s="8"/>
      <c r="G101" s="8"/>
      <c r="H101" s="8"/>
      <c r="I101" s="8"/>
      <c r="J101" s="8"/>
      <c r="K101" s="8"/>
      <c r="L101" s="8"/>
    </row>
    <row r="102">
      <c r="A102" s="49" t="s">
        <v>218</v>
      </c>
      <c r="B102" s="50" t="s">
        <v>151</v>
      </c>
      <c r="C102" s="12" t="s">
        <v>63</v>
      </c>
      <c r="F102" s="8"/>
      <c r="G102" s="8"/>
      <c r="H102" s="8"/>
      <c r="I102" s="8"/>
      <c r="J102" s="8"/>
      <c r="K102" s="8"/>
      <c r="L102" s="8"/>
    </row>
    <row r="103">
      <c r="A103" s="51" t="s">
        <v>219</v>
      </c>
      <c r="B103" s="50" t="s">
        <v>151</v>
      </c>
      <c r="C103" s="12" t="s">
        <v>63</v>
      </c>
      <c r="F103" s="8"/>
      <c r="G103" s="8"/>
      <c r="H103" s="8"/>
      <c r="I103" s="8"/>
      <c r="J103" s="8"/>
      <c r="K103" s="8"/>
      <c r="L103" s="8"/>
    </row>
    <row r="104">
      <c r="A104" s="8" t="s">
        <v>220</v>
      </c>
      <c r="B104" s="50" t="s">
        <v>151</v>
      </c>
      <c r="C104" s="12" t="s">
        <v>63</v>
      </c>
      <c r="F104" s="8"/>
      <c r="G104" s="8"/>
      <c r="H104" s="8"/>
      <c r="I104" s="8"/>
      <c r="J104" s="8"/>
      <c r="K104" s="8"/>
      <c r="L104" s="8"/>
    </row>
    <row r="105">
      <c r="A105" s="8" t="s">
        <v>221</v>
      </c>
      <c r="B105" s="50" t="s">
        <v>151</v>
      </c>
      <c r="C105" s="12" t="s">
        <v>63</v>
      </c>
      <c r="F105" s="8"/>
      <c r="G105" s="8"/>
      <c r="H105" s="8"/>
      <c r="I105" s="8"/>
      <c r="J105" s="8"/>
      <c r="K105" s="8"/>
      <c r="L105" s="8"/>
    </row>
    <row r="106">
      <c r="A106" s="8" t="s">
        <v>222</v>
      </c>
      <c r="B106" s="50" t="s">
        <v>151</v>
      </c>
      <c r="C106" s="12" t="s">
        <v>63</v>
      </c>
      <c r="L106" s="8"/>
    </row>
    <row r="107">
      <c r="A107" s="8" t="s">
        <v>223</v>
      </c>
      <c r="B107" s="50" t="s">
        <v>151</v>
      </c>
      <c r="C107" s="12" t="s">
        <v>63</v>
      </c>
      <c r="L107" s="8"/>
    </row>
    <row r="108">
      <c r="A108" s="8" t="s">
        <v>162</v>
      </c>
      <c r="B108" s="50" t="s">
        <v>151</v>
      </c>
      <c r="C108" s="12" t="s">
        <v>63</v>
      </c>
      <c r="L108" s="8"/>
    </row>
    <row r="109">
      <c r="A109" s="8" t="s">
        <v>159</v>
      </c>
      <c r="B109" s="50" t="s">
        <v>151</v>
      </c>
      <c r="C109" s="12" t="s">
        <v>63</v>
      </c>
    </row>
    <row r="110">
      <c r="A110" s="8" t="s">
        <v>155</v>
      </c>
      <c r="B110" s="50" t="s">
        <v>151</v>
      </c>
      <c r="C110" s="12" t="s">
        <v>63</v>
      </c>
    </row>
    <row r="111">
      <c r="A111" s="8" t="s">
        <v>224</v>
      </c>
      <c r="B111" s="50" t="s">
        <v>151</v>
      </c>
      <c r="C111" s="12" t="s">
        <v>63</v>
      </c>
    </row>
    <row r="112">
      <c r="A112" s="8" t="s">
        <v>225</v>
      </c>
      <c r="B112" s="50" t="s">
        <v>151</v>
      </c>
      <c r="C112" s="12" t="s">
        <v>63</v>
      </c>
    </row>
  </sheetData>
  <mergeCells count="5">
    <mergeCell ref="A1:L1"/>
    <mergeCell ref="A2:L2"/>
    <mergeCell ref="A3:L3"/>
    <mergeCell ref="A4:L4"/>
    <mergeCell ref="J22:K22"/>
  </mergeCells>
  <conditionalFormatting sqref="G15:G32 H15:H33">
    <cfRule type="cellIs" dxfId="0" priority="1" operator="equal">
      <formula>"No"</formula>
    </cfRule>
  </conditionalFormatting>
  <conditionalFormatting sqref="G15:G32 H15:H33">
    <cfRule type="cellIs" dxfId="1" priority="2" operator="equal">
      <formula>"Yes"</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4" width="11.88"/>
    <col customWidth="1" min="5" max="5" width="8.88"/>
    <col customWidth="1" min="6" max="11" width="18.25"/>
  </cols>
  <sheetData>
    <row r="1">
      <c r="A1" s="1" t="s">
        <v>226</v>
      </c>
    </row>
    <row r="2">
      <c r="A2" s="2" t="s">
        <v>1</v>
      </c>
    </row>
    <row r="3">
      <c r="A3" s="3" t="s">
        <v>227</v>
      </c>
    </row>
    <row r="4">
      <c r="A4" s="3" t="s">
        <v>3</v>
      </c>
    </row>
    <row r="5">
      <c r="A5" s="4"/>
      <c r="B5" s="4"/>
      <c r="C5" s="4"/>
      <c r="D5" s="4"/>
      <c r="E5" s="4"/>
      <c r="F5" s="4"/>
      <c r="G5" s="4"/>
      <c r="H5" s="4"/>
      <c r="I5" s="4"/>
      <c r="J5" s="5"/>
      <c r="K5" s="5"/>
      <c r="L5" s="5"/>
    </row>
    <row r="6">
      <c r="A6" s="6" t="s">
        <v>4</v>
      </c>
    </row>
    <row r="7">
      <c r="A7" s="7" t="s">
        <v>228</v>
      </c>
      <c r="B7" s="7"/>
      <c r="C7" s="7"/>
      <c r="D7" s="7"/>
      <c r="E7" s="7"/>
      <c r="F7" s="7"/>
      <c r="G7" s="7"/>
      <c r="H7" s="7"/>
      <c r="I7" s="7"/>
      <c r="J7" s="7"/>
      <c r="K7" s="7"/>
      <c r="L7" s="7"/>
    </row>
    <row r="8">
      <c r="A8" s="8" t="s">
        <v>6</v>
      </c>
    </row>
    <row r="9">
      <c r="A9" s="8" t="s">
        <v>7</v>
      </c>
    </row>
    <row r="10">
      <c r="A10" s="8" t="s">
        <v>8</v>
      </c>
    </row>
    <row r="11">
      <c r="A11" s="8" t="s">
        <v>9</v>
      </c>
    </row>
    <row r="14">
      <c r="A14" s="9" t="s">
        <v>10</v>
      </c>
      <c r="B14" s="10" t="s">
        <v>11</v>
      </c>
      <c r="C14" s="10" t="s">
        <v>12</v>
      </c>
      <c r="D14" s="10" t="s">
        <v>13</v>
      </c>
      <c r="F14" s="11" t="s">
        <v>14</v>
      </c>
      <c r="G14" s="11" t="s">
        <v>15</v>
      </c>
      <c r="H14" s="11" t="s">
        <v>16</v>
      </c>
      <c r="J14" s="11" t="s">
        <v>17</v>
      </c>
      <c r="K14" s="11" t="s">
        <v>18</v>
      </c>
      <c r="L14" s="11" t="s">
        <v>19</v>
      </c>
    </row>
    <row r="15">
      <c r="A15" s="12" t="s">
        <v>167</v>
      </c>
      <c r="B15" s="13">
        <v>45537.0</v>
      </c>
      <c r="C15" s="14" t="s">
        <v>56</v>
      </c>
      <c r="D15" s="15">
        <v>262.0</v>
      </c>
      <c r="F15" s="16" t="s">
        <v>21</v>
      </c>
      <c r="G15" s="17">
        <f t="shared" ref="G15:G32" si="1">SUMIF($C$15:$C$56,F15,$D$15:$D$56)</f>
        <v>26</v>
      </c>
      <c r="H15" s="18" t="s">
        <v>170</v>
      </c>
      <c r="J15" s="8" t="s">
        <v>23</v>
      </c>
      <c r="K15" s="19">
        <v>0.45</v>
      </c>
      <c r="L15" s="20">
        <f t="shared" ref="L15:L19" si="2">K15*$D$57</f>
        <v>945.9</v>
      </c>
      <c r="N15" s="21"/>
    </row>
    <row r="16">
      <c r="A16" s="12" t="s">
        <v>24</v>
      </c>
      <c r="B16" s="22">
        <v>45597.0</v>
      </c>
      <c r="C16" s="23" t="s">
        <v>51</v>
      </c>
      <c r="D16" s="24">
        <v>142.0</v>
      </c>
      <c r="F16" s="16" t="s">
        <v>25</v>
      </c>
      <c r="G16" s="17">
        <f t="shared" si="1"/>
        <v>0</v>
      </c>
      <c r="H16" s="18" t="s">
        <v>22</v>
      </c>
      <c r="J16" s="8" t="s">
        <v>26</v>
      </c>
      <c r="K16" s="19">
        <v>0.25</v>
      </c>
      <c r="L16" s="20">
        <f t="shared" si="2"/>
        <v>525.5</v>
      </c>
      <c r="N16" s="21"/>
    </row>
    <row r="17">
      <c r="A17" s="12" t="s">
        <v>27</v>
      </c>
      <c r="B17" s="22">
        <v>45597.0</v>
      </c>
      <c r="C17" s="23" t="s">
        <v>38</v>
      </c>
      <c r="D17" s="24">
        <v>131.0</v>
      </c>
      <c r="F17" s="16" t="s">
        <v>28</v>
      </c>
      <c r="G17" s="17">
        <f t="shared" si="1"/>
        <v>0</v>
      </c>
      <c r="H17" s="18" t="s">
        <v>22</v>
      </c>
      <c r="J17" s="8" t="s">
        <v>29</v>
      </c>
      <c r="K17" s="19">
        <v>0.15</v>
      </c>
      <c r="L17" s="20">
        <f t="shared" si="2"/>
        <v>315.3</v>
      </c>
      <c r="N17" s="21"/>
    </row>
    <row r="18">
      <c r="A18" s="12" t="s">
        <v>33</v>
      </c>
      <c r="B18" s="25" t="s">
        <v>169</v>
      </c>
      <c r="C18" s="23" t="s">
        <v>66</v>
      </c>
      <c r="D18" s="24">
        <v>135.0</v>
      </c>
      <c r="E18" s="8"/>
      <c r="F18" s="16" t="s">
        <v>31</v>
      </c>
      <c r="G18" s="17">
        <f t="shared" si="1"/>
        <v>93</v>
      </c>
      <c r="H18" s="18" t="s">
        <v>170</v>
      </c>
      <c r="J18" s="8" t="s">
        <v>32</v>
      </c>
      <c r="K18" s="19">
        <v>0.1</v>
      </c>
      <c r="L18" s="20">
        <f t="shared" si="2"/>
        <v>210.2</v>
      </c>
      <c r="N18" s="21"/>
    </row>
    <row r="19">
      <c r="A19" s="12" t="s">
        <v>57</v>
      </c>
      <c r="B19" s="25" t="s">
        <v>40</v>
      </c>
      <c r="C19" s="23" t="s">
        <v>56</v>
      </c>
      <c r="D19" s="24">
        <v>84.0</v>
      </c>
      <c r="E19" s="8"/>
      <c r="F19" s="16" t="s">
        <v>35</v>
      </c>
      <c r="G19" s="17">
        <f t="shared" si="1"/>
        <v>0</v>
      </c>
      <c r="H19" s="18" t="s">
        <v>22</v>
      </c>
      <c r="J19" s="8" t="s">
        <v>36</v>
      </c>
      <c r="K19" s="19">
        <v>0.05</v>
      </c>
      <c r="L19" s="20">
        <f t="shared" si="2"/>
        <v>105.1</v>
      </c>
      <c r="N19" s="21"/>
    </row>
    <row r="20">
      <c r="A20" s="12" t="s">
        <v>69</v>
      </c>
      <c r="B20" s="25" t="s">
        <v>43</v>
      </c>
      <c r="C20" s="23" t="s">
        <v>66</v>
      </c>
      <c r="D20" s="24">
        <v>82.0</v>
      </c>
      <c r="F20" s="16" t="s">
        <v>38</v>
      </c>
      <c r="G20" s="17">
        <f t="shared" si="1"/>
        <v>351</v>
      </c>
      <c r="H20" s="18" t="s">
        <v>170</v>
      </c>
      <c r="J20" s="8"/>
      <c r="K20" s="8"/>
      <c r="L20" s="8"/>
      <c r="N20" s="21"/>
    </row>
    <row r="21">
      <c r="A21" s="12" t="s">
        <v>67</v>
      </c>
      <c r="B21" s="25" t="s">
        <v>43</v>
      </c>
      <c r="C21" s="23" t="s">
        <v>41</v>
      </c>
      <c r="D21" s="24">
        <v>85.0</v>
      </c>
      <c r="F21" s="16" t="s">
        <v>41</v>
      </c>
      <c r="G21" s="17">
        <f t="shared" si="1"/>
        <v>85</v>
      </c>
      <c r="H21" s="18" t="s">
        <v>170</v>
      </c>
      <c r="J21" s="8"/>
      <c r="K21" s="8"/>
      <c r="L21" s="8"/>
      <c r="N21" s="21"/>
    </row>
    <row r="22">
      <c r="A22" s="12" t="s">
        <v>171</v>
      </c>
      <c r="B22" s="25" t="s">
        <v>172</v>
      </c>
      <c r="C22" s="23" t="s">
        <v>63</v>
      </c>
      <c r="D22" s="24">
        <v>70.0</v>
      </c>
      <c r="F22" s="16" t="s">
        <v>229</v>
      </c>
      <c r="G22" s="17">
        <f t="shared" si="1"/>
        <v>0</v>
      </c>
      <c r="H22" s="18" t="s">
        <v>22</v>
      </c>
      <c r="J22" s="26" t="s">
        <v>45</v>
      </c>
      <c r="K22" s="27"/>
      <c r="L22" s="8"/>
      <c r="N22" s="21"/>
    </row>
    <row r="23">
      <c r="A23" s="12" t="s">
        <v>230</v>
      </c>
      <c r="B23" s="25" t="s">
        <v>55</v>
      </c>
      <c r="C23" s="23" t="s">
        <v>38</v>
      </c>
      <c r="D23" s="24">
        <v>47.0</v>
      </c>
      <c r="F23" s="16" t="s">
        <v>48</v>
      </c>
      <c r="G23" s="17">
        <f t="shared" si="1"/>
        <v>102</v>
      </c>
      <c r="H23" s="18" t="s">
        <v>170</v>
      </c>
      <c r="J23" s="28">
        <v>1.0</v>
      </c>
      <c r="K23" s="28" t="s">
        <v>167</v>
      </c>
      <c r="L23" s="8" t="s">
        <v>56</v>
      </c>
      <c r="M23" s="29">
        <v>945.9</v>
      </c>
      <c r="N23" s="21"/>
    </row>
    <row r="24">
      <c r="A24" s="12" t="s">
        <v>30</v>
      </c>
      <c r="B24" s="25" t="s">
        <v>58</v>
      </c>
      <c r="C24" s="23" t="s">
        <v>31</v>
      </c>
      <c r="D24" s="24">
        <v>46.0</v>
      </c>
      <c r="F24" s="16" t="s">
        <v>51</v>
      </c>
      <c r="G24" s="17">
        <f t="shared" si="1"/>
        <v>181</v>
      </c>
      <c r="H24" s="18" t="s">
        <v>170</v>
      </c>
      <c r="J24" s="30">
        <v>2.0</v>
      </c>
      <c r="K24" s="52" t="s">
        <v>230</v>
      </c>
      <c r="L24" s="8" t="s">
        <v>38</v>
      </c>
      <c r="M24" s="29">
        <v>525.5</v>
      </c>
      <c r="N24" s="21"/>
    </row>
    <row r="25">
      <c r="A25" s="12" t="s">
        <v>77</v>
      </c>
      <c r="B25" s="25" t="s">
        <v>58</v>
      </c>
      <c r="C25" s="23" t="s">
        <v>48</v>
      </c>
      <c r="D25" s="24">
        <v>56.0</v>
      </c>
      <c r="F25" s="16" t="s">
        <v>53</v>
      </c>
      <c r="G25" s="17">
        <f t="shared" si="1"/>
        <v>0</v>
      </c>
      <c r="H25" s="18" t="s">
        <v>22</v>
      </c>
      <c r="J25" s="28" t="s">
        <v>231</v>
      </c>
      <c r="K25" s="28" t="s">
        <v>46</v>
      </c>
      <c r="L25" s="8" t="s">
        <v>51</v>
      </c>
      <c r="M25" s="29">
        <v>210.2</v>
      </c>
      <c r="N25" s="21"/>
    </row>
    <row r="26">
      <c r="A26" s="12" t="s">
        <v>89</v>
      </c>
      <c r="B26" s="25" t="s">
        <v>176</v>
      </c>
      <c r="C26" s="23" t="s">
        <v>70</v>
      </c>
      <c r="D26" s="24">
        <v>46.0</v>
      </c>
      <c r="F26" s="16" t="s">
        <v>56</v>
      </c>
      <c r="G26" s="17">
        <f t="shared" si="1"/>
        <v>500</v>
      </c>
      <c r="H26" s="18" t="s">
        <v>170</v>
      </c>
      <c r="J26" s="30" t="s">
        <v>231</v>
      </c>
      <c r="K26" s="30" t="s">
        <v>232</v>
      </c>
      <c r="L26" s="8" t="s">
        <v>21</v>
      </c>
      <c r="M26" s="29">
        <v>210.2</v>
      </c>
      <c r="N26" s="21"/>
    </row>
    <row r="27">
      <c r="A27" s="12" t="s">
        <v>178</v>
      </c>
      <c r="B27" s="25" t="s">
        <v>176</v>
      </c>
      <c r="C27" s="23" t="s">
        <v>68</v>
      </c>
      <c r="D27" s="24">
        <v>61.0</v>
      </c>
      <c r="F27" s="16" t="s">
        <v>59</v>
      </c>
      <c r="G27" s="17">
        <f t="shared" si="1"/>
        <v>40</v>
      </c>
      <c r="H27" s="18" t="s">
        <v>170</v>
      </c>
      <c r="J27" s="28" t="s">
        <v>231</v>
      </c>
      <c r="K27" s="28" t="s">
        <v>54</v>
      </c>
      <c r="L27" s="8" t="s">
        <v>63</v>
      </c>
      <c r="M27" s="29">
        <v>210.2</v>
      </c>
      <c r="N27" s="21"/>
    </row>
    <row r="28">
      <c r="A28" s="12" t="s">
        <v>180</v>
      </c>
      <c r="B28" s="25" t="s">
        <v>176</v>
      </c>
      <c r="C28" s="23" t="s">
        <v>31</v>
      </c>
      <c r="D28" s="24">
        <v>37.0</v>
      </c>
      <c r="F28" s="16" t="s">
        <v>61</v>
      </c>
      <c r="G28" s="17">
        <f t="shared" si="1"/>
        <v>0</v>
      </c>
      <c r="H28" s="18" t="s">
        <v>22</v>
      </c>
      <c r="J28" s="31"/>
      <c r="K28" s="31"/>
      <c r="N28" s="21"/>
    </row>
    <row r="29">
      <c r="A29" s="12" t="s">
        <v>125</v>
      </c>
      <c r="B29" s="25" t="s">
        <v>176</v>
      </c>
      <c r="C29" s="23" t="s">
        <v>38</v>
      </c>
      <c r="D29" s="24">
        <v>50.0</v>
      </c>
      <c r="F29" s="16" t="s">
        <v>63</v>
      </c>
      <c r="G29" s="17">
        <f t="shared" si="1"/>
        <v>167</v>
      </c>
      <c r="H29" s="18" t="s">
        <v>170</v>
      </c>
      <c r="J29" s="31"/>
      <c r="K29" s="31"/>
      <c r="N29" s="21"/>
    </row>
    <row r="30">
      <c r="A30" s="12" t="s">
        <v>233</v>
      </c>
      <c r="B30" s="25" t="s">
        <v>176</v>
      </c>
      <c r="C30" s="23" t="s">
        <v>56</v>
      </c>
      <c r="D30" s="24">
        <v>37.0</v>
      </c>
      <c r="F30" s="16" t="s">
        <v>66</v>
      </c>
      <c r="G30" s="17">
        <f t="shared" si="1"/>
        <v>259</v>
      </c>
      <c r="H30" s="18" t="s">
        <v>170</v>
      </c>
      <c r="J30" s="31"/>
      <c r="K30" s="31"/>
      <c r="N30" s="21"/>
    </row>
    <row r="31">
      <c r="A31" s="12" t="s">
        <v>82</v>
      </c>
      <c r="B31" s="25" t="s">
        <v>65</v>
      </c>
      <c r="C31" s="23" t="s">
        <v>56</v>
      </c>
      <c r="D31" s="24">
        <v>43.0</v>
      </c>
      <c r="F31" s="16" t="s">
        <v>68</v>
      </c>
      <c r="G31" s="17">
        <f t="shared" si="1"/>
        <v>80</v>
      </c>
      <c r="H31" s="18" t="s">
        <v>170</v>
      </c>
      <c r="K31" s="8"/>
      <c r="M31" s="32"/>
      <c r="N31" s="21"/>
    </row>
    <row r="32">
      <c r="A32" s="12" t="s">
        <v>123</v>
      </c>
      <c r="B32" s="25" t="s">
        <v>65</v>
      </c>
      <c r="C32" s="23" t="s">
        <v>48</v>
      </c>
      <c r="D32" s="24">
        <v>46.0</v>
      </c>
      <c r="F32" s="16" t="s">
        <v>70</v>
      </c>
      <c r="G32" s="33">
        <f t="shared" si="1"/>
        <v>218</v>
      </c>
      <c r="H32" s="18" t="s">
        <v>170</v>
      </c>
      <c r="I32" s="8"/>
      <c r="J32" s="8"/>
      <c r="K32" s="8"/>
      <c r="L32" s="8"/>
      <c r="N32" s="21"/>
    </row>
    <row r="33">
      <c r="A33" s="12" t="s">
        <v>46</v>
      </c>
      <c r="B33" s="25" t="s">
        <v>72</v>
      </c>
      <c r="C33" s="23" t="s">
        <v>51</v>
      </c>
      <c r="D33" s="24">
        <v>39.0</v>
      </c>
      <c r="F33" s="34" t="s">
        <v>73</v>
      </c>
      <c r="G33" s="35">
        <f>SUM(G15:G32)</f>
        <v>2102</v>
      </c>
      <c r="H33" s="36"/>
      <c r="I33" s="8"/>
      <c r="J33" s="8"/>
      <c r="K33" s="8"/>
      <c r="L33" s="8"/>
      <c r="N33" s="21"/>
    </row>
    <row r="34">
      <c r="A34" s="12" t="s">
        <v>54</v>
      </c>
      <c r="B34" s="25" t="s">
        <v>72</v>
      </c>
      <c r="C34" s="23" t="s">
        <v>63</v>
      </c>
      <c r="D34" s="24">
        <v>40.0</v>
      </c>
      <c r="F34" s="34"/>
      <c r="G34" s="37"/>
      <c r="H34" s="8"/>
      <c r="I34" s="8"/>
      <c r="J34" s="8"/>
      <c r="K34" s="8"/>
      <c r="L34" s="8"/>
      <c r="N34" s="21"/>
    </row>
    <row r="35">
      <c r="A35" s="12" t="s">
        <v>99</v>
      </c>
      <c r="B35" s="25" t="s">
        <v>75</v>
      </c>
      <c r="C35" s="23" t="s">
        <v>38</v>
      </c>
      <c r="D35" s="24">
        <v>50.0</v>
      </c>
      <c r="K35" s="8"/>
      <c r="L35" s="8"/>
      <c r="N35" s="21"/>
    </row>
    <row r="36">
      <c r="A36" s="8" t="s">
        <v>74</v>
      </c>
      <c r="B36" s="25" t="s">
        <v>75</v>
      </c>
      <c r="C36" s="23" t="s">
        <v>38</v>
      </c>
      <c r="D36" s="24">
        <v>28.0</v>
      </c>
      <c r="F36" s="38" t="s">
        <v>21</v>
      </c>
      <c r="G36" s="38" t="s">
        <v>25</v>
      </c>
      <c r="H36" s="38" t="s">
        <v>28</v>
      </c>
      <c r="I36" s="38" t="s">
        <v>31</v>
      </c>
      <c r="J36" s="38" t="s">
        <v>35</v>
      </c>
      <c r="K36" s="38" t="s">
        <v>38</v>
      </c>
      <c r="N36" s="21"/>
    </row>
    <row r="37">
      <c r="A37" s="12" t="s">
        <v>234</v>
      </c>
      <c r="B37" s="25" t="s">
        <v>75</v>
      </c>
      <c r="C37" s="23" t="s">
        <v>56</v>
      </c>
      <c r="D37" s="24">
        <v>30.0</v>
      </c>
      <c r="F37" s="12" t="str">
        <f t="array" ref="F37">INDEX($A$15:$A$56,SMALL(IF($F$36=$C$15:$C$56,row($C$15:$C$56)-row($C$15)+1),row(1:1)))</f>
        <v>Max Homa</v>
      </c>
      <c r="G37" s="12"/>
      <c r="H37" s="12"/>
      <c r="I37" s="12" t="str">
        <f t="shared" ref="I37:I39" si="3">INDEX($A$15:$A$56,SMALL(IF($I$36=$C$15:$C$56,row($C$15:$C$56)-row($C$15)+1),row(1:1)))</f>
        <v>Bryson DeChambeau</v>
      </c>
      <c r="J37" s="12"/>
      <c r="K37" s="12" t="str">
        <f t="shared" ref="K37:K44" si="4">INDEX($A$15:$A$56,SMALL(IF($K$36=$C$15:$C$56,row($C$15:$C$56)-row($C$15)+1),row(1:1)))</f>
        <v>Rory McIlroy</v>
      </c>
      <c r="L37" s="8"/>
    </row>
    <row r="38">
      <c r="A38" s="12" t="s">
        <v>184</v>
      </c>
      <c r="B38" s="25" t="s">
        <v>75</v>
      </c>
      <c r="C38" s="23" t="s">
        <v>59</v>
      </c>
      <c r="D38" s="24">
        <v>29.0</v>
      </c>
      <c r="F38" s="12"/>
      <c r="G38" s="12"/>
      <c r="H38" s="12"/>
      <c r="I38" s="12" t="str">
        <f t="shared" si="3"/>
        <v>Tony Finau</v>
      </c>
      <c r="J38" s="12"/>
      <c r="K38" s="12" t="str">
        <f t="shared" si="4"/>
        <v>Ludvig Åberg</v>
      </c>
    </row>
    <row r="39">
      <c r="A39" s="12" t="s">
        <v>175</v>
      </c>
      <c r="B39" s="25" t="s">
        <v>79</v>
      </c>
      <c r="C39" s="23" t="s">
        <v>56</v>
      </c>
      <c r="D39" s="24">
        <v>22.0</v>
      </c>
      <c r="F39" s="12"/>
      <c r="G39" s="12"/>
      <c r="H39" s="12"/>
      <c r="I39" s="12" t="str">
        <f t="shared" si="3"/>
        <v>Min Woo Lee</v>
      </c>
      <c r="J39" s="12"/>
      <c r="K39" s="12" t="str">
        <f t="shared" si="4"/>
        <v>Wyndham Clark</v>
      </c>
    </row>
    <row r="40">
      <c r="A40" s="12" t="s">
        <v>114</v>
      </c>
      <c r="B40" s="25" t="s">
        <v>79</v>
      </c>
      <c r="C40" s="23" t="s">
        <v>21</v>
      </c>
      <c r="D40" s="24">
        <v>26.0</v>
      </c>
      <c r="F40" s="12"/>
      <c r="G40" s="12"/>
      <c r="H40" s="12"/>
      <c r="I40" s="12"/>
      <c r="J40" s="12"/>
      <c r="K40" s="12" t="str">
        <f t="shared" si="4"/>
        <v>Cam Smith</v>
      </c>
    </row>
    <row r="41">
      <c r="A41" s="12" t="s">
        <v>76</v>
      </c>
      <c r="B41" s="25" t="s">
        <v>81</v>
      </c>
      <c r="C41" s="23" t="s">
        <v>38</v>
      </c>
      <c r="D41" s="24">
        <v>22.0</v>
      </c>
      <c r="F41" s="12"/>
      <c r="G41" s="12"/>
      <c r="H41" s="12"/>
      <c r="I41" s="12"/>
      <c r="J41" s="12"/>
      <c r="K41" s="12" t="str">
        <f t="shared" si="4"/>
        <v>Shane Lowry</v>
      </c>
    </row>
    <row r="42">
      <c r="A42" s="12" t="s">
        <v>71</v>
      </c>
      <c r="B42" s="25" t="s">
        <v>81</v>
      </c>
      <c r="C42" s="23" t="s">
        <v>63</v>
      </c>
      <c r="D42" s="24">
        <v>18.0</v>
      </c>
      <c r="F42" s="12"/>
      <c r="G42" s="12"/>
      <c r="H42" s="12"/>
      <c r="I42" s="12"/>
      <c r="J42" s="12"/>
      <c r="K42" s="12" t="str">
        <f t="shared" si="4"/>
        <v>Russell Henley</v>
      </c>
    </row>
    <row r="43">
      <c r="A43" s="12" t="s">
        <v>97</v>
      </c>
      <c r="B43" s="25" t="s">
        <v>85</v>
      </c>
      <c r="C43" s="23" t="s">
        <v>66</v>
      </c>
      <c r="D43" s="24">
        <v>22.0</v>
      </c>
      <c r="F43" s="12"/>
      <c r="G43" s="12"/>
      <c r="H43" s="12"/>
      <c r="I43" s="12"/>
      <c r="J43" s="12"/>
      <c r="K43" s="12" t="str">
        <f t="shared" si="4"/>
        <v>Patrick Reed</v>
      </c>
    </row>
    <row r="44">
      <c r="A44" s="12" t="s">
        <v>109</v>
      </c>
      <c r="B44" s="25" t="s">
        <v>181</v>
      </c>
      <c r="C44" s="23" t="s">
        <v>68</v>
      </c>
      <c r="D44" s="24">
        <v>19.0</v>
      </c>
      <c r="F44" s="12"/>
      <c r="G44" s="12"/>
      <c r="H44" s="12"/>
      <c r="I44" s="12"/>
      <c r="J44" s="12"/>
      <c r="K44" s="12" t="str">
        <f t="shared" si="4"/>
        <v>Sergio Garcia</v>
      </c>
    </row>
    <row r="45">
      <c r="A45" s="12" t="s">
        <v>93</v>
      </c>
      <c r="B45" s="25" t="s">
        <v>181</v>
      </c>
      <c r="C45" s="23" t="s">
        <v>63</v>
      </c>
      <c r="D45" s="24">
        <v>21.0</v>
      </c>
      <c r="F45" s="12"/>
      <c r="G45" s="12"/>
      <c r="H45" s="12"/>
      <c r="I45" s="12"/>
      <c r="J45" s="12"/>
      <c r="K45" s="12"/>
    </row>
    <row r="46">
      <c r="A46" s="12" t="s">
        <v>96</v>
      </c>
      <c r="B46" s="25" t="s">
        <v>92</v>
      </c>
      <c r="C46" s="23" t="s">
        <v>66</v>
      </c>
      <c r="D46" s="24">
        <v>10.0</v>
      </c>
      <c r="F46" s="38" t="s">
        <v>41</v>
      </c>
      <c r="G46" s="38" t="s">
        <v>229</v>
      </c>
      <c r="H46" s="38" t="s">
        <v>48</v>
      </c>
      <c r="I46" s="38" t="s">
        <v>51</v>
      </c>
      <c r="J46" s="38" t="s">
        <v>53</v>
      </c>
      <c r="K46" s="38" t="s">
        <v>56</v>
      </c>
    </row>
    <row r="47">
      <c r="A47" s="12" t="s">
        <v>60</v>
      </c>
      <c r="B47" s="25" t="s">
        <v>92</v>
      </c>
      <c r="C47" s="23" t="s">
        <v>38</v>
      </c>
      <c r="D47" s="24">
        <v>13.0</v>
      </c>
      <c r="F47" s="12" t="str">
        <f t="array" ref="F47">INDEX($A$15:$A$56,SMALL(IF(F$46=$C$15:$C$56,row($C$15:$C$56)-row($C$15)+1),row(1:1)))</f>
        <v>Jordan Spieth</v>
      </c>
      <c r="G47" s="12"/>
      <c r="H47" s="12" t="str">
        <f t="shared" ref="H47:I47" si="5">INDEX($A$15:$A$56,SMALL(IF(H$46=$C$15:$C$56,row($C$15:$C$56)-row($C$15)+1),row(1:1)))</f>
        <v>Viktor Hovland</v>
      </c>
      <c r="I47" s="12" t="str">
        <f t="shared" si="5"/>
        <v>Jon Rahm</v>
      </c>
      <c r="J47" s="12"/>
      <c r="K47" s="12" t="str">
        <f t="shared" ref="K47:K54" si="7">INDEX($A$15:$A$56,SMALL(IF(K$46=$C$15:$C$56,row($C$15:$C$56)-row($C$15)+1),row(1:1)))</f>
        <v>Scottie Scheffler</v>
      </c>
    </row>
    <row r="48">
      <c r="A48" s="12" t="s">
        <v>80</v>
      </c>
      <c r="B48" s="25" t="s">
        <v>92</v>
      </c>
      <c r="C48" s="23" t="s">
        <v>70</v>
      </c>
      <c r="D48" s="24">
        <v>10.0</v>
      </c>
      <c r="F48" s="12"/>
      <c r="G48" s="12"/>
      <c r="H48" s="12" t="str">
        <f t="shared" ref="H48:I48" si="6">INDEX($A$15:$A$56,SMALL(IF(H$46=$C$15:$C$56,row($C$15:$C$56)-row($C$15)+1),row(2:2)))</f>
        <v>Dustin Johnson</v>
      </c>
      <c r="I48" s="12" t="str">
        <f t="shared" si="6"/>
        <v>Tommy Fleetwood</v>
      </c>
      <c r="J48" s="12"/>
      <c r="K48" s="12" t="str">
        <f t="shared" si="7"/>
        <v>Hideki Matsuyama</v>
      </c>
    </row>
    <row r="49">
      <c r="A49" s="12" t="s">
        <v>62</v>
      </c>
      <c r="B49" s="25" t="s">
        <v>235</v>
      </c>
      <c r="C49" s="23" t="s">
        <v>31</v>
      </c>
      <c r="D49" s="24">
        <v>10.0</v>
      </c>
      <c r="F49" s="12"/>
      <c r="G49" s="12"/>
      <c r="H49" s="12"/>
      <c r="I49" s="12"/>
      <c r="J49" s="12"/>
      <c r="K49" s="12" t="str">
        <f t="shared" si="7"/>
        <v>Matthew Fitzpatrick</v>
      </c>
    </row>
    <row r="50">
      <c r="A50" s="12" t="s">
        <v>78</v>
      </c>
      <c r="B50" s="25" t="s">
        <v>95</v>
      </c>
      <c r="C50" s="23" t="s">
        <v>66</v>
      </c>
      <c r="D50" s="24">
        <v>10.0</v>
      </c>
      <c r="F50" s="12"/>
      <c r="G50" s="12"/>
      <c r="H50" s="12"/>
      <c r="I50" s="12"/>
      <c r="J50" s="12"/>
      <c r="K50" s="12" t="str">
        <f t="shared" si="7"/>
        <v>Justin Thomas</v>
      </c>
      <c r="L50" s="12"/>
    </row>
    <row r="51">
      <c r="A51" s="12" t="s">
        <v>191</v>
      </c>
      <c r="B51" s="25" t="s">
        <v>182</v>
      </c>
      <c r="C51" s="23" t="s">
        <v>56</v>
      </c>
      <c r="D51" s="24">
        <v>12.0</v>
      </c>
      <c r="F51" s="12"/>
      <c r="G51" s="12"/>
      <c r="H51" s="12"/>
      <c r="I51" s="12"/>
      <c r="J51" s="12"/>
      <c r="K51" s="12" t="str">
        <f t="shared" si="7"/>
        <v>Cam Young</v>
      </c>
      <c r="L51" s="12"/>
    </row>
    <row r="52">
      <c r="A52" s="12" t="s">
        <v>192</v>
      </c>
      <c r="B52" s="25" t="s">
        <v>182</v>
      </c>
      <c r="C52" s="23" t="s">
        <v>56</v>
      </c>
      <c r="D52" s="24">
        <v>10.0</v>
      </c>
      <c r="F52" s="12"/>
      <c r="G52" s="12"/>
      <c r="H52" s="12"/>
      <c r="I52" s="12"/>
      <c r="J52" s="12"/>
      <c r="K52" s="12" t="str">
        <f t="shared" si="7"/>
        <v>Tyrrell Hatton</v>
      </c>
      <c r="L52" s="12"/>
    </row>
    <row r="53">
      <c r="A53" s="39" t="s">
        <v>131</v>
      </c>
      <c r="B53" s="40" t="s">
        <v>185</v>
      </c>
      <c r="C53" s="23" t="s">
        <v>38</v>
      </c>
      <c r="D53" s="23">
        <v>10.0</v>
      </c>
      <c r="F53" s="12"/>
      <c r="G53" s="12"/>
      <c r="H53" s="12"/>
      <c r="I53" s="12"/>
      <c r="J53" s="12"/>
      <c r="K53" s="12" t="str">
        <f t="shared" si="7"/>
        <v>Byeong Hun An</v>
      </c>
      <c r="L53" s="12"/>
    </row>
    <row r="54">
      <c r="A54" s="39" t="s">
        <v>174</v>
      </c>
      <c r="B54" s="40" t="s">
        <v>185</v>
      </c>
      <c r="C54" s="23" t="s">
        <v>59</v>
      </c>
      <c r="D54" s="23">
        <v>11.0</v>
      </c>
      <c r="F54" s="12"/>
      <c r="G54" s="12"/>
      <c r="H54" s="12"/>
      <c r="I54" s="12"/>
      <c r="J54" s="12"/>
      <c r="K54" s="12" t="str">
        <f t="shared" si="7"/>
        <v>Denny McCarthy</v>
      </c>
      <c r="L54" s="8"/>
    </row>
    <row r="55">
      <c r="A55" s="39" t="s">
        <v>236</v>
      </c>
      <c r="B55" s="40" t="s">
        <v>111</v>
      </c>
      <c r="C55" s="23" t="s">
        <v>63</v>
      </c>
      <c r="D55" s="23">
        <v>18.0</v>
      </c>
      <c r="L55" s="8"/>
    </row>
    <row r="56">
      <c r="A56" s="43" t="s">
        <v>103</v>
      </c>
      <c r="B56" s="44" t="s">
        <v>187</v>
      </c>
      <c r="C56" s="45" t="s">
        <v>70</v>
      </c>
      <c r="D56" s="45">
        <v>162.0</v>
      </c>
      <c r="E56" s="41"/>
      <c r="L56" s="42"/>
      <c r="M56" s="41"/>
      <c r="N56" s="41"/>
      <c r="O56" s="41"/>
      <c r="P56" s="41"/>
      <c r="Q56" s="41"/>
      <c r="R56" s="41"/>
      <c r="S56" s="41"/>
      <c r="T56" s="41"/>
      <c r="U56" s="41"/>
      <c r="V56" s="41"/>
      <c r="W56" s="41"/>
      <c r="X56" s="41"/>
      <c r="Y56" s="41"/>
      <c r="Z56" s="41"/>
    </row>
    <row r="57">
      <c r="A57" s="12"/>
      <c r="B57" s="46"/>
      <c r="C57" s="34" t="s">
        <v>104</v>
      </c>
      <c r="D57" s="37">
        <f>sum(D15:D56)</f>
        <v>2102</v>
      </c>
      <c r="F57" s="38" t="s">
        <v>59</v>
      </c>
      <c r="G57" s="38" t="s">
        <v>61</v>
      </c>
      <c r="H57" s="38" t="s">
        <v>63</v>
      </c>
      <c r="I57" s="38" t="s">
        <v>66</v>
      </c>
      <c r="J57" s="38" t="s">
        <v>68</v>
      </c>
      <c r="K57" s="38" t="s">
        <v>70</v>
      </c>
      <c r="L57" s="8"/>
    </row>
    <row r="58">
      <c r="A58" s="47" t="s">
        <v>105</v>
      </c>
      <c r="B58" s="47"/>
      <c r="C58" s="18" t="s">
        <v>106</v>
      </c>
      <c r="D58" s="36" t="str">
        <f>if(G33-D57=0,"No","Yes")</f>
        <v>No</v>
      </c>
      <c r="F58" s="12" t="str">
        <f t="shared" ref="F58:F59" si="9">INDEX($A$15:$A$56,SMALL(IF(F$57=$C$15:$C$56,row($C$15:$C$56)-row($C$15)+1),row(1:1)))</f>
        <v>Sahith Theegala</v>
      </c>
      <c r="G58" s="12"/>
      <c r="H58" s="12" t="str">
        <f t="shared" ref="H58:K58" si="8">INDEX($A$15:$A$56,SMALL(IF(H$57=$C$15:$C$56,row($C$15:$C$56)-row($C$15)+1),row(1:1)))</f>
        <v>Joaquin Niemann</v>
      </c>
      <c r="I58" s="12" t="str">
        <f t="shared" si="8"/>
        <v>Xander Schauffele</v>
      </c>
      <c r="J58" s="12" t="str">
        <f t="shared" si="8"/>
        <v>Will Zalatoris</v>
      </c>
      <c r="K58" s="12" t="str">
        <f t="shared" si="8"/>
        <v>Patrick Cantlay</v>
      </c>
      <c r="L58" s="8"/>
    </row>
    <row r="59">
      <c r="A59" s="48" t="s">
        <v>52</v>
      </c>
      <c r="B59" s="46" t="s">
        <v>111</v>
      </c>
      <c r="F59" s="12" t="str">
        <f t="shared" si="9"/>
        <v>Sungjae Im</v>
      </c>
      <c r="G59" s="12"/>
      <c r="H59" s="12" t="str">
        <f t="shared" ref="H59:K59" si="10">INDEX($A$15:$A$56,SMALL(IF(H$57=$C$15:$C$56,row($C$15:$C$56)-row($C$15)+1),row(2:2)))</f>
        <v>Collin Morikawa</v>
      </c>
      <c r="I59" s="12" t="str">
        <f t="shared" si="10"/>
        <v>Brooks Koepka</v>
      </c>
      <c r="J59" s="12" t="str">
        <f t="shared" si="10"/>
        <v>Brian Harman</v>
      </c>
      <c r="K59" s="12" t="str">
        <f t="shared" si="10"/>
        <v>Adam Scott</v>
      </c>
      <c r="L59" s="8"/>
    </row>
    <row r="60">
      <c r="A60" s="48" t="s">
        <v>209</v>
      </c>
      <c r="B60" s="46" t="s">
        <v>194</v>
      </c>
      <c r="F60" s="12"/>
      <c r="G60" s="12"/>
      <c r="H60" s="12" t="str">
        <f t="shared" ref="H60:I60" si="11">INDEX($A$15:$A$56,SMALL(IF(H$57=$C$15:$C$56,row($C$15:$C$56)-row($C$15)+1),row(3:3)))</f>
        <v>Si Woo Kim</v>
      </c>
      <c r="I60" s="12" t="str">
        <f t="shared" si="11"/>
        <v>Corey Conners</v>
      </c>
      <c r="J60" s="12"/>
      <c r="K60" s="12" t="str">
        <f t="array" ref="K60">INDEX($A$15:$A$56,SMALL(IF(K$57=$C$15:$C$56,row($C$15:$C$56)-row($C$15)+1),row(3:3)))</f>
        <v>The Field</v>
      </c>
      <c r="L60" s="8"/>
    </row>
    <row r="61">
      <c r="A61" s="48" t="s">
        <v>237</v>
      </c>
      <c r="B61" s="46" t="s">
        <v>194</v>
      </c>
      <c r="C61" s="12"/>
      <c r="F61" s="12"/>
      <c r="G61" s="12"/>
      <c r="H61" s="12" t="str">
        <f t="shared" ref="H61:I61" si="12">INDEX($A$15:$A$56,SMALL(IF(H$57=$C$15:$C$56,row($C$15:$C$56)-row($C$15)+1),row(4:4)))</f>
        <v>Jason Day</v>
      </c>
      <c r="I61" s="12" t="str">
        <f t="shared" si="12"/>
        <v>Sam Burns</v>
      </c>
      <c r="J61" s="12"/>
      <c r="K61" s="12"/>
      <c r="L61" s="8"/>
    </row>
    <row r="62">
      <c r="A62" s="48" t="s">
        <v>183</v>
      </c>
      <c r="B62" s="46" t="s">
        <v>194</v>
      </c>
      <c r="C62" s="12"/>
      <c r="F62" s="12"/>
      <c r="G62" s="12"/>
      <c r="H62" s="12" t="str">
        <f t="shared" ref="H62:I62" si="13">INDEX($A$15:$A$56,SMALL(IF(H$57=$C$15:$C$56,row($C$15:$C$56)-row($C$15)+1),row(5:5)))</f>
        <v>Tiger Woods</v>
      </c>
      <c r="I62" s="12" t="str">
        <f t="shared" si="13"/>
        <v>Akshay Bhatia</v>
      </c>
      <c r="J62" s="12"/>
      <c r="K62" s="12"/>
      <c r="L62" s="8"/>
    </row>
    <row r="63">
      <c r="A63" s="48" t="s">
        <v>98</v>
      </c>
      <c r="B63" s="46" t="s">
        <v>194</v>
      </c>
      <c r="F63" s="12"/>
      <c r="G63" s="12"/>
      <c r="H63" s="12"/>
      <c r="I63" s="12"/>
      <c r="J63" s="12"/>
      <c r="K63" s="12"/>
      <c r="L63" s="8"/>
    </row>
    <row r="64">
      <c r="A64" s="48" t="s">
        <v>200</v>
      </c>
      <c r="B64" s="46" t="s">
        <v>194</v>
      </c>
      <c r="F64" s="12"/>
      <c r="G64" s="12"/>
      <c r="H64" s="12"/>
      <c r="I64" s="12"/>
      <c r="J64" s="12"/>
      <c r="K64" s="12"/>
      <c r="L64" s="8"/>
    </row>
    <row r="65">
      <c r="A65" s="48" t="s">
        <v>238</v>
      </c>
      <c r="B65" s="46" t="s">
        <v>197</v>
      </c>
      <c r="F65" s="12"/>
      <c r="G65" s="12"/>
      <c r="H65" s="12"/>
      <c r="I65" s="12"/>
      <c r="J65" s="12"/>
      <c r="K65" s="12"/>
      <c r="L65" s="8"/>
    </row>
    <row r="66">
      <c r="A66" s="48" t="s">
        <v>107</v>
      </c>
      <c r="B66" s="46" t="s">
        <v>199</v>
      </c>
      <c r="C66" s="12"/>
      <c r="G66" s="8"/>
      <c r="H66" s="8"/>
      <c r="I66" s="8"/>
      <c r="J66" s="8"/>
      <c r="K66" s="8"/>
      <c r="L66" s="8"/>
    </row>
    <row r="67">
      <c r="A67" s="48" t="s">
        <v>239</v>
      </c>
      <c r="B67" s="46" t="s">
        <v>199</v>
      </c>
      <c r="C67" s="12"/>
      <c r="H67" s="8"/>
      <c r="I67" s="8"/>
      <c r="J67" s="8"/>
      <c r="K67" s="8"/>
      <c r="L67" s="8"/>
    </row>
    <row r="68">
      <c r="A68" s="48" t="s">
        <v>208</v>
      </c>
      <c r="B68" s="46" t="s">
        <v>199</v>
      </c>
      <c r="C68" s="12"/>
      <c r="G68" s="8"/>
      <c r="H68" s="8"/>
      <c r="I68" s="8"/>
      <c r="J68" s="8"/>
      <c r="K68" s="8"/>
      <c r="L68" s="8"/>
    </row>
    <row r="69">
      <c r="A69" s="48" t="s">
        <v>122</v>
      </c>
      <c r="B69" s="46" t="s">
        <v>199</v>
      </c>
      <c r="C69" s="12"/>
      <c r="F69" s="8"/>
      <c r="G69" s="8"/>
      <c r="H69" s="8"/>
      <c r="I69" s="8"/>
      <c r="J69" s="8"/>
      <c r="K69" s="8"/>
      <c r="L69" s="8"/>
    </row>
    <row r="70">
      <c r="A70" s="48" t="s">
        <v>84</v>
      </c>
      <c r="B70" s="46" t="s">
        <v>199</v>
      </c>
      <c r="C70" s="12"/>
      <c r="F70" s="8"/>
      <c r="G70" s="8"/>
      <c r="H70" s="8"/>
      <c r="I70" s="8"/>
      <c r="J70" s="8"/>
      <c r="K70" s="8"/>
      <c r="L70" s="8"/>
    </row>
    <row r="71">
      <c r="A71" s="48" t="s">
        <v>240</v>
      </c>
      <c r="B71" s="46" t="s">
        <v>127</v>
      </c>
      <c r="C71" s="12"/>
      <c r="F71" s="8"/>
      <c r="G71" s="8"/>
      <c r="H71" s="8"/>
      <c r="I71" s="8"/>
      <c r="J71" s="8"/>
      <c r="K71" s="8"/>
      <c r="L71" s="8"/>
    </row>
    <row r="72">
      <c r="A72" s="48" t="s">
        <v>130</v>
      </c>
      <c r="B72" s="46" t="s">
        <v>127</v>
      </c>
      <c r="C72" s="12"/>
      <c r="F72" s="8"/>
      <c r="G72" s="8"/>
      <c r="H72" s="8"/>
      <c r="I72" s="8"/>
      <c r="J72" s="8"/>
      <c r="K72" s="8"/>
      <c r="L72" s="8"/>
    </row>
    <row r="73">
      <c r="A73" s="48" t="s">
        <v>83</v>
      </c>
      <c r="B73" s="46" t="s">
        <v>127</v>
      </c>
      <c r="C73" s="12"/>
      <c r="F73" s="8"/>
      <c r="G73" s="8"/>
      <c r="H73" s="8"/>
      <c r="I73" s="8"/>
      <c r="J73" s="8"/>
      <c r="K73" s="8"/>
      <c r="L73" s="8"/>
    </row>
    <row r="74">
      <c r="A74" s="48" t="s">
        <v>186</v>
      </c>
      <c r="B74" s="46" t="s">
        <v>201</v>
      </c>
      <c r="C74" s="12"/>
      <c r="F74" s="8"/>
      <c r="G74" s="8"/>
      <c r="H74" s="8"/>
      <c r="I74" s="8"/>
      <c r="J74" s="8"/>
      <c r="K74" s="8"/>
      <c r="L74" s="8"/>
    </row>
    <row r="75">
      <c r="A75" s="48" t="s">
        <v>241</v>
      </c>
      <c r="B75" s="46" t="s">
        <v>201</v>
      </c>
      <c r="C75" s="12"/>
      <c r="F75" s="8"/>
      <c r="G75" s="8"/>
      <c r="H75" s="8"/>
      <c r="I75" s="8"/>
      <c r="J75" s="8"/>
      <c r="K75" s="8"/>
      <c r="L75" s="8"/>
    </row>
    <row r="76">
      <c r="A76" s="48" t="s">
        <v>215</v>
      </c>
      <c r="B76" s="46" t="s">
        <v>201</v>
      </c>
      <c r="C76" s="12"/>
      <c r="F76" s="8"/>
      <c r="G76" s="8"/>
      <c r="H76" s="8"/>
      <c r="I76" s="8"/>
      <c r="J76" s="8"/>
      <c r="K76" s="8"/>
      <c r="L76" s="8"/>
    </row>
    <row r="77">
      <c r="A77" s="48" t="s">
        <v>86</v>
      </c>
      <c r="B77" s="46" t="s">
        <v>203</v>
      </c>
      <c r="C77" s="12"/>
      <c r="F77" s="8"/>
      <c r="G77" s="8"/>
      <c r="H77" s="8"/>
      <c r="I77" s="8"/>
      <c r="J77" s="8"/>
      <c r="K77" s="8"/>
      <c r="L77" s="8"/>
    </row>
    <row r="78">
      <c r="A78" s="48" t="s">
        <v>242</v>
      </c>
      <c r="B78" s="46" t="s">
        <v>203</v>
      </c>
      <c r="C78" s="12"/>
      <c r="F78" s="8"/>
      <c r="G78" s="8"/>
      <c r="H78" s="8"/>
      <c r="I78" s="8"/>
      <c r="J78" s="8"/>
      <c r="K78" s="8"/>
      <c r="L78" s="8"/>
    </row>
    <row r="79">
      <c r="A79" s="48" t="s">
        <v>243</v>
      </c>
      <c r="B79" s="46" t="s">
        <v>203</v>
      </c>
      <c r="C79" s="12"/>
      <c r="F79" s="8"/>
      <c r="G79" s="8"/>
      <c r="H79" s="8"/>
      <c r="I79" s="8"/>
      <c r="J79" s="8"/>
      <c r="K79" s="8"/>
      <c r="L79" s="8"/>
    </row>
    <row r="80">
      <c r="A80" s="48" t="s">
        <v>115</v>
      </c>
      <c r="B80" s="46" t="s">
        <v>203</v>
      </c>
      <c r="C80" s="12"/>
      <c r="F80" s="8"/>
      <c r="G80" s="8"/>
      <c r="H80" s="8"/>
      <c r="I80" s="8"/>
      <c r="J80" s="8"/>
      <c r="K80" s="8"/>
      <c r="L80" s="8"/>
    </row>
    <row r="81">
      <c r="A81" s="48" t="s">
        <v>244</v>
      </c>
      <c r="B81" s="46" t="s">
        <v>203</v>
      </c>
      <c r="C81" s="12"/>
      <c r="F81" s="8"/>
      <c r="G81" s="8"/>
      <c r="H81" s="8"/>
      <c r="I81" s="8"/>
      <c r="J81" s="8"/>
      <c r="K81" s="8"/>
      <c r="L81" s="8"/>
    </row>
    <row r="82">
      <c r="A82" s="48" t="s">
        <v>216</v>
      </c>
      <c r="B82" s="46" t="s">
        <v>136</v>
      </c>
      <c r="C82" s="12"/>
      <c r="F82" s="8"/>
      <c r="G82" s="8"/>
      <c r="H82" s="8"/>
      <c r="I82" s="8"/>
      <c r="J82" s="8"/>
      <c r="K82" s="8"/>
      <c r="L82" s="8"/>
    </row>
    <row r="83">
      <c r="A83" s="48" t="s">
        <v>196</v>
      </c>
      <c r="B83" s="46" t="s">
        <v>136</v>
      </c>
      <c r="C83" s="12"/>
      <c r="F83" s="8"/>
      <c r="G83" s="8"/>
      <c r="H83" s="8"/>
      <c r="I83" s="8"/>
      <c r="J83" s="8"/>
      <c r="K83" s="8"/>
      <c r="L83" s="8"/>
    </row>
    <row r="84">
      <c r="A84" s="48" t="s">
        <v>193</v>
      </c>
      <c r="B84" s="46" t="s">
        <v>136</v>
      </c>
      <c r="C84" s="12"/>
      <c r="F84" s="8"/>
      <c r="G84" s="8"/>
      <c r="H84" s="8"/>
      <c r="I84" s="8"/>
      <c r="J84" s="8"/>
      <c r="K84" s="8"/>
      <c r="L84" s="8"/>
    </row>
    <row r="85">
      <c r="A85" s="48" t="s">
        <v>245</v>
      </c>
      <c r="B85" s="46" t="s">
        <v>136</v>
      </c>
      <c r="C85" s="12"/>
      <c r="F85" s="8"/>
      <c r="G85" s="8"/>
      <c r="H85" s="8"/>
      <c r="I85" s="8"/>
      <c r="J85" s="8"/>
      <c r="K85" s="8"/>
      <c r="L85" s="8"/>
    </row>
    <row r="86">
      <c r="A86" s="48" t="s">
        <v>100</v>
      </c>
      <c r="B86" s="46" t="s">
        <v>210</v>
      </c>
      <c r="C86" s="12"/>
      <c r="F86" s="8"/>
      <c r="G86" s="8"/>
      <c r="H86" s="8"/>
      <c r="I86" s="8"/>
      <c r="J86" s="8"/>
      <c r="K86" s="8"/>
      <c r="L86" s="8"/>
    </row>
    <row r="87">
      <c r="A87" s="48" t="s">
        <v>246</v>
      </c>
      <c r="B87" s="46" t="s">
        <v>210</v>
      </c>
      <c r="C87" s="12"/>
      <c r="F87" s="8"/>
      <c r="G87" s="8"/>
      <c r="H87" s="8"/>
      <c r="I87" s="8"/>
      <c r="J87" s="8"/>
      <c r="K87" s="8"/>
      <c r="L87" s="8"/>
    </row>
    <row r="88">
      <c r="A88" s="48" t="s">
        <v>144</v>
      </c>
      <c r="B88" s="46" t="s">
        <v>142</v>
      </c>
      <c r="C88" s="12"/>
      <c r="F88" s="8"/>
      <c r="G88" s="8"/>
      <c r="H88" s="8"/>
      <c r="I88" s="8"/>
      <c r="J88" s="8"/>
      <c r="K88" s="8"/>
      <c r="L88" s="8"/>
    </row>
    <row r="89">
      <c r="A89" s="48" t="s">
        <v>211</v>
      </c>
      <c r="B89" s="46" t="s">
        <v>142</v>
      </c>
      <c r="C89" s="12"/>
      <c r="F89" s="8"/>
      <c r="G89" s="8"/>
      <c r="H89" s="8"/>
      <c r="I89" s="8"/>
      <c r="J89" s="8"/>
      <c r="K89" s="8"/>
      <c r="L89" s="8"/>
    </row>
    <row r="90">
      <c r="A90" s="48" t="s">
        <v>247</v>
      </c>
      <c r="B90" s="46" t="s">
        <v>142</v>
      </c>
      <c r="C90" s="12"/>
      <c r="F90" s="8"/>
      <c r="G90" s="8"/>
      <c r="H90" s="8"/>
      <c r="I90" s="8"/>
      <c r="J90" s="8"/>
      <c r="K90" s="8"/>
      <c r="L90" s="8"/>
    </row>
    <row r="91">
      <c r="A91" s="48" t="s">
        <v>248</v>
      </c>
      <c r="B91" s="46" t="s">
        <v>142</v>
      </c>
      <c r="C91" s="12"/>
      <c r="F91" s="8"/>
      <c r="G91" s="8"/>
      <c r="H91" s="8"/>
      <c r="I91" s="8"/>
      <c r="J91" s="8"/>
      <c r="K91" s="8"/>
      <c r="L91" s="8"/>
    </row>
    <row r="92">
      <c r="A92" s="48" t="s">
        <v>148</v>
      </c>
      <c r="B92" s="46" t="s">
        <v>142</v>
      </c>
      <c r="C92" s="12"/>
      <c r="F92" s="8"/>
      <c r="G92" s="8"/>
      <c r="H92" s="8"/>
      <c r="I92" s="8"/>
      <c r="J92" s="8"/>
      <c r="K92" s="8"/>
      <c r="L92" s="8"/>
    </row>
    <row r="93">
      <c r="A93" s="49" t="s">
        <v>249</v>
      </c>
      <c r="B93" s="46" t="s">
        <v>250</v>
      </c>
      <c r="C93" s="12"/>
      <c r="F93" s="8"/>
      <c r="G93" s="8"/>
      <c r="H93" s="8"/>
      <c r="I93" s="8"/>
      <c r="J93" s="8"/>
      <c r="K93" s="8"/>
      <c r="L93" s="8"/>
    </row>
    <row r="94">
      <c r="A94" s="49" t="s">
        <v>147</v>
      </c>
      <c r="B94" s="46" t="s">
        <v>149</v>
      </c>
      <c r="C94" s="12"/>
      <c r="F94" s="8"/>
      <c r="G94" s="8"/>
      <c r="H94" s="8"/>
      <c r="I94" s="8"/>
      <c r="J94" s="8"/>
      <c r="K94" s="8"/>
      <c r="L94" s="8"/>
    </row>
    <row r="95">
      <c r="A95" s="49" t="s">
        <v>251</v>
      </c>
      <c r="B95" s="50" t="s">
        <v>151</v>
      </c>
      <c r="C95" s="12"/>
      <c r="F95" s="8"/>
      <c r="G95" s="8"/>
      <c r="H95" s="8"/>
      <c r="I95" s="8"/>
      <c r="J95" s="8"/>
      <c r="K95" s="8"/>
      <c r="L95" s="8"/>
    </row>
    <row r="96">
      <c r="A96" s="49" t="s">
        <v>252</v>
      </c>
      <c r="B96" s="50" t="s">
        <v>151</v>
      </c>
      <c r="C96" s="12"/>
      <c r="F96" s="8"/>
      <c r="G96" s="8"/>
      <c r="H96" s="8"/>
      <c r="I96" s="8"/>
      <c r="J96" s="8"/>
      <c r="K96" s="8"/>
      <c r="L96" s="8"/>
    </row>
    <row r="97">
      <c r="A97" s="49" t="s">
        <v>253</v>
      </c>
      <c r="B97" s="50" t="s">
        <v>151</v>
      </c>
      <c r="C97" s="12"/>
      <c r="F97" s="8"/>
      <c r="G97" s="8"/>
      <c r="H97" s="8"/>
      <c r="I97" s="8"/>
      <c r="J97" s="8"/>
      <c r="K97" s="8"/>
      <c r="L97" s="8"/>
    </row>
    <row r="98">
      <c r="A98" s="49" t="s">
        <v>159</v>
      </c>
      <c r="B98" s="50" t="s">
        <v>151</v>
      </c>
      <c r="C98" s="12"/>
      <c r="F98" s="8"/>
      <c r="G98" s="8"/>
      <c r="H98" s="8"/>
      <c r="I98" s="8"/>
      <c r="J98" s="8"/>
      <c r="K98" s="8"/>
      <c r="L98" s="8"/>
    </row>
    <row r="99">
      <c r="A99" s="49" t="s">
        <v>162</v>
      </c>
      <c r="B99" s="50" t="s">
        <v>151</v>
      </c>
      <c r="C99" s="12"/>
      <c r="F99" s="8"/>
      <c r="G99" s="8"/>
      <c r="H99" s="8"/>
      <c r="I99" s="8"/>
      <c r="J99" s="8"/>
      <c r="K99" s="8"/>
      <c r="L99" s="8"/>
    </row>
    <row r="100">
      <c r="A100" s="49" t="s">
        <v>254</v>
      </c>
      <c r="B100" s="50" t="s">
        <v>151</v>
      </c>
      <c r="C100" s="12"/>
      <c r="F100" s="8"/>
      <c r="G100" s="8"/>
      <c r="H100" s="8"/>
      <c r="I100" s="8"/>
      <c r="J100" s="8"/>
      <c r="K100" s="8"/>
      <c r="L100" s="8"/>
    </row>
    <row r="101">
      <c r="A101" s="49" t="s">
        <v>154</v>
      </c>
      <c r="B101" s="50" t="s">
        <v>151</v>
      </c>
      <c r="C101" s="12"/>
      <c r="F101" s="8"/>
      <c r="G101" s="8"/>
      <c r="H101" s="8"/>
      <c r="I101" s="8"/>
      <c r="J101" s="8"/>
      <c r="K101" s="8"/>
      <c r="L101" s="8"/>
    </row>
    <row r="102">
      <c r="A102" s="49" t="s">
        <v>255</v>
      </c>
      <c r="B102" s="50" t="s">
        <v>151</v>
      </c>
      <c r="C102" s="12"/>
      <c r="F102" s="8"/>
      <c r="G102" s="8"/>
      <c r="H102" s="8"/>
      <c r="I102" s="8"/>
      <c r="J102" s="8"/>
      <c r="K102" s="8"/>
      <c r="L102" s="8"/>
    </row>
    <row r="103">
      <c r="A103" s="51" t="s">
        <v>256</v>
      </c>
      <c r="B103" s="50" t="s">
        <v>151</v>
      </c>
      <c r="C103" s="12"/>
      <c r="F103" s="8"/>
      <c r="G103" s="8"/>
      <c r="H103" s="8"/>
      <c r="I103" s="8"/>
      <c r="J103" s="8"/>
      <c r="K103" s="8"/>
      <c r="L103" s="8"/>
    </row>
    <row r="104">
      <c r="A104" s="8" t="s">
        <v>257</v>
      </c>
      <c r="B104" s="50" t="s">
        <v>151</v>
      </c>
      <c r="C104" s="12"/>
      <c r="F104" s="8"/>
      <c r="G104" s="8"/>
      <c r="H104" s="8"/>
      <c r="I104" s="8"/>
      <c r="J104" s="8"/>
      <c r="K104" s="8"/>
      <c r="L104" s="8"/>
    </row>
    <row r="105">
      <c r="A105" s="8" t="s">
        <v>155</v>
      </c>
      <c r="B105" s="50" t="s">
        <v>151</v>
      </c>
      <c r="C105" s="12"/>
      <c r="F105" s="8"/>
      <c r="G105" s="8"/>
      <c r="H105" s="8"/>
      <c r="I105" s="8"/>
      <c r="J105" s="8"/>
      <c r="K105" s="8"/>
      <c r="L105" s="8"/>
    </row>
    <row r="106">
      <c r="B106" s="50"/>
      <c r="C106" s="12"/>
      <c r="L106" s="8"/>
    </row>
    <row r="107">
      <c r="A107" s="53"/>
      <c r="B107" s="46"/>
      <c r="C107" s="12"/>
      <c r="L107" s="8"/>
    </row>
    <row r="108">
      <c r="A108" s="54"/>
      <c r="B108" s="46"/>
      <c r="C108" s="12"/>
      <c r="L108" s="8"/>
    </row>
  </sheetData>
  <mergeCells count="5">
    <mergeCell ref="A1:L1"/>
    <mergeCell ref="A2:L2"/>
    <mergeCell ref="A3:L3"/>
    <mergeCell ref="A4:L4"/>
    <mergeCell ref="J22:K22"/>
  </mergeCells>
  <conditionalFormatting sqref="G15:G32 H15:H33">
    <cfRule type="cellIs" dxfId="0" priority="1" operator="equal">
      <formula>"No"</formula>
    </cfRule>
  </conditionalFormatting>
  <conditionalFormatting sqref="G15:G32 H15:H33">
    <cfRule type="cellIs" dxfId="1" priority="2" operator="equal">
      <formula>"Yes"</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4" width="11.88"/>
    <col customWidth="1" min="5" max="5" width="8.88"/>
    <col customWidth="1" min="6" max="11" width="18.25"/>
  </cols>
  <sheetData>
    <row r="1">
      <c r="A1" s="1" t="s">
        <v>258</v>
      </c>
    </row>
    <row r="2">
      <c r="A2" s="2" t="s">
        <v>1</v>
      </c>
    </row>
    <row r="3">
      <c r="A3" s="3" t="s">
        <v>259</v>
      </c>
    </row>
    <row r="4">
      <c r="A4" s="3" t="s">
        <v>3</v>
      </c>
    </row>
    <row r="5">
      <c r="A5" s="4"/>
      <c r="B5" s="4"/>
      <c r="C5" s="4"/>
      <c r="D5" s="4"/>
      <c r="E5" s="4"/>
      <c r="F5" s="4"/>
      <c r="G5" s="4"/>
      <c r="H5" s="4"/>
      <c r="I5" s="4"/>
      <c r="J5" s="5"/>
      <c r="K5" s="5"/>
      <c r="L5" s="5"/>
    </row>
    <row r="6">
      <c r="A6" s="6" t="s">
        <v>4</v>
      </c>
    </row>
    <row r="7">
      <c r="A7" s="7" t="s">
        <v>228</v>
      </c>
      <c r="B7" s="7"/>
      <c r="C7" s="7"/>
      <c r="D7" s="7"/>
      <c r="E7" s="7"/>
      <c r="F7" s="7"/>
      <c r="G7" s="7"/>
      <c r="H7" s="7"/>
      <c r="I7" s="7"/>
      <c r="J7" s="7"/>
      <c r="K7" s="7"/>
      <c r="L7" s="7"/>
    </row>
    <row r="8">
      <c r="A8" s="8" t="s">
        <v>6</v>
      </c>
    </row>
    <row r="9">
      <c r="A9" s="8" t="s">
        <v>7</v>
      </c>
    </row>
    <row r="10">
      <c r="A10" s="8" t="s">
        <v>8</v>
      </c>
    </row>
    <row r="11">
      <c r="A11" s="8" t="s">
        <v>9</v>
      </c>
    </row>
    <row r="14">
      <c r="A14" s="9" t="s">
        <v>10</v>
      </c>
      <c r="B14" s="10" t="s">
        <v>11</v>
      </c>
      <c r="C14" s="10" t="s">
        <v>12</v>
      </c>
      <c r="D14" s="10" t="s">
        <v>13</v>
      </c>
      <c r="F14" s="11" t="s">
        <v>14</v>
      </c>
      <c r="G14" s="11" t="s">
        <v>15</v>
      </c>
      <c r="H14" s="11" t="s">
        <v>16</v>
      </c>
      <c r="J14" s="11" t="s">
        <v>17</v>
      </c>
      <c r="K14" s="11" t="s">
        <v>18</v>
      </c>
      <c r="L14" s="11" t="s">
        <v>19</v>
      </c>
    </row>
    <row r="15">
      <c r="A15" s="12" t="s">
        <v>167</v>
      </c>
      <c r="B15" s="13">
        <v>45108.0</v>
      </c>
      <c r="C15" s="14" t="s">
        <v>38</v>
      </c>
      <c r="D15" s="15">
        <v>101.0</v>
      </c>
      <c r="F15" s="16" t="s">
        <v>21</v>
      </c>
      <c r="G15" s="17">
        <f t="shared" ref="G15:G32" si="1">SUMIF($C$15:$C$56,F15,$D$15:$D$56)</f>
        <v>0</v>
      </c>
      <c r="H15" s="18" t="s">
        <v>22</v>
      </c>
      <c r="J15" s="8" t="s">
        <v>23</v>
      </c>
      <c r="K15" s="19">
        <v>0.45</v>
      </c>
      <c r="L15" s="20">
        <f t="shared" ref="L15:L19" si="2">K15*$D$57</f>
        <v>603</v>
      </c>
      <c r="N15" s="21"/>
    </row>
    <row r="16">
      <c r="A16" s="12" t="s">
        <v>27</v>
      </c>
      <c r="B16" s="22">
        <v>45108.0</v>
      </c>
      <c r="C16" s="23" t="s">
        <v>63</v>
      </c>
      <c r="D16" s="24">
        <v>80.0</v>
      </c>
      <c r="F16" s="16" t="s">
        <v>25</v>
      </c>
      <c r="G16" s="17">
        <f t="shared" si="1"/>
        <v>0</v>
      </c>
      <c r="H16" s="18" t="s">
        <v>22</v>
      </c>
      <c r="J16" s="8" t="s">
        <v>26</v>
      </c>
      <c r="K16" s="19">
        <v>0.25</v>
      </c>
      <c r="L16" s="20">
        <f t="shared" si="2"/>
        <v>335</v>
      </c>
      <c r="N16" s="21"/>
    </row>
    <row r="17">
      <c r="A17" s="12" t="s">
        <v>24</v>
      </c>
      <c r="B17" s="22">
        <v>45170.0</v>
      </c>
      <c r="C17" s="23" t="s">
        <v>31</v>
      </c>
      <c r="D17" s="24">
        <v>72.0</v>
      </c>
      <c r="F17" s="16" t="s">
        <v>28</v>
      </c>
      <c r="G17" s="17">
        <f t="shared" si="1"/>
        <v>0</v>
      </c>
      <c r="H17" s="18" t="s">
        <v>22</v>
      </c>
      <c r="J17" s="8" t="s">
        <v>29</v>
      </c>
      <c r="K17" s="19">
        <v>0.15</v>
      </c>
      <c r="L17" s="20">
        <f t="shared" si="2"/>
        <v>201</v>
      </c>
      <c r="N17" s="21"/>
    </row>
    <row r="18">
      <c r="A18" s="12" t="s">
        <v>67</v>
      </c>
      <c r="B18" s="25" t="s">
        <v>34</v>
      </c>
      <c r="C18" s="23" t="s">
        <v>41</v>
      </c>
      <c r="D18" s="24">
        <v>57.0</v>
      </c>
      <c r="E18" s="8"/>
      <c r="F18" s="16" t="s">
        <v>31</v>
      </c>
      <c r="G18" s="17">
        <f t="shared" si="1"/>
        <v>223</v>
      </c>
      <c r="H18" s="18" t="s">
        <v>170</v>
      </c>
      <c r="J18" s="8" t="s">
        <v>32</v>
      </c>
      <c r="K18" s="19">
        <v>0.1</v>
      </c>
      <c r="L18" s="20">
        <f t="shared" si="2"/>
        <v>134</v>
      </c>
      <c r="N18" s="21"/>
    </row>
    <row r="19">
      <c r="A19" s="12" t="s">
        <v>89</v>
      </c>
      <c r="B19" s="25" t="s">
        <v>260</v>
      </c>
      <c r="C19" s="23" t="s">
        <v>51</v>
      </c>
      <c r="D19" s="24">
        <v>52.0</v>
      </c>
      <c r="E19" s="8"/>
      <c r="F19" s="16" t="s">
        <v>35</v>
      </c>
      <c r="G19" s="17">
        <f t="shared" si="1"/>
        <v>16</v>
      </c>
      <c r="H19" s="18" t="s">
        <v>170</v>
      </c>
      <c r="J19" s="8" t="s">
        <v>36</v>
      </c>
      <c r="K19" s="19">
        <v>0.05</v>
      </c>
      <c r="L19" s="20">
        <f t="shared" si="2"/>
        <v>67</v>
      </c>
      <c r="N19" s="21"/>
    </row>
    <row r="20">
      <c r="A20" s="12" t="s">
        <v>82</v>
      </c>
      <c r="B20" s="25" t="s">
        <v>40</v>
      </c>
      <c r="C20" s="23" t="s">
        <v>31</v>
      </c>
      <c r="D20" s="24">
        <v>52.0</v>
      </c>
      <c r="F20" s="16" t="s">
        <v>38</v>
      </c>
      <c r="G20" s="17">
        <f t="shared" si="1"/>
        <v>228</v>
      </c>
      <c r="H20" s="18" t="s">
        <v>170</v>
      </c>
      <c r="J20" s="8"/>
      <c r="K20" s="8"/>
      <c r="L20" s="8"/>
      <c r="N20" s="21"/>
    </row>
    <row r="21">
      <c r="A21" s="12" t="s">
        <v>179</v>
      </c>
      <c r="B21" s="25" t="s">
        <v>43</v>
      </c>
      <c r="C21" s="23" t="s">
        <v>38</v>
      </c>
      <c r="D21" s="24">
        <v>60.0</v>
      </c>
      <c r="F21" s="16" t="s">
        <v>41</v>
      </c>
      <c r="G21" s="17">
        <f t="shared" si="1"/>
        <v>117</v>
      </c>
      <c r="H21" s="18" t="s">
        <v>170</v>
      </c>
      <c r="J21" s="8"/>
      <c r="K21" s="8"/>
      <c r="L21" s="8"/>
      <c r="N21" s="21"/>
    </row>
    <row r="22">
      <c r="A22" s="12" t="s">
        <v>33</v>
      </c>
      <c r="B22" s="25" t="s">
        <v>43</v>
      </c>
      <c r="C22" s="23" t="s">
        <v>66</v>
      </c>
      <c r="D22" s="24">
        <v>45.0</v>
      </c>
      <c r="F22" s="16" t="s">
        <v>229</v>
      </c>
      <c r="G22" s="17">
        <f t="shared" si="1"/>
        <v>0</v>
      </c>
      <c r="H22" s="18" t="s">
        <v>22</v>
      </c>
      <c r="J22" s="26" t="s">
        <v>45</v>
      </c>
      <c r="K22" s="27"/>
      <c r="L22" s="8"/>
      <c r="N22" s="21"/>
    </row>
    <row r="23">
      <c r="A23" s="12" t="s">
        <v>180</v>
      </c>
      <c r="B23" s="25" t="s">
        <v>43</v>
      </c>
      <c r="C23" s="23" t="s">
        <v>63</v>
      </c>
      <c r="D23" s="24">
        <v>46.0</v>
      </c>
      <c r="F23" s="16" t="s">
        <v>48</v>
      </c>
      <c r="G23" s="17">
        <f t="shared" si="1"/>
        <v>88</v>
      </c>
      <c r="H23" s="18" t="s">
        <v>170</v>
      </c>
      <c r="J23" s="28">
        <v>1.0</v>
      </c>
      <c r="K23" s="28" t="s">
        <v>24</v>
      </c>
      <c r="L23" s="8" t="s">
        <v>31</v>
      </c>
      <c r="M23" s="55">
        <f>L15</f>
        <v>603</v>
      </c>
      <c r="N23" s="21"/>
    </row>
    <row r="24">
      <c r="A24" s="12" t="s">
        <v>54</v>
      </c>
      <c r="B24" s="25" t="s">
        <v>261</v>
      </c>
      <c r="C24" s="23" t="s">
        <v>262</v>
      </c>
      <c r="D24" s="24">
        <v>55.0</v>
      </c>
      <c r="F24" s="16" t="s">
        <v>51</v>
      </c>
      <c r="G24" s="17">
        <f t="shared" si="1"/>
        <v>57</v>
      </c>
      <c r="H24" s="18" t="s">
        <v>170</v>
      </c>
      <c r="J24" s="30" t="s">
        <v>263</v>
      </c>
      <c r="K24" s="52" t="s">
        <v>186</v>
      </c>
      <c r="L24" s="8" t="s">
        <v>70</v>
      </c>
      <c r="M24" s="55">
        <f t="shared" ref="M24:M25" si="3">($L$16+$L$17)/2</f>
        <v>268</v>
      </c>
      <c r="N24" s="21"/>
    </row>
    <row r="25">
      <c r="A25" s="12" t="s">
        <v>93</v>
      </c>
      <c r="B25" s="25" t="s">
        <v>261</v>
      </c>
      <c r="C25" s="23" t="s">
        <v>262</v>
      </c>
      <c r="D25" s="24">
        <v>37.0</v>
      </c>
      <c r="F25" s="16" t="s">
        <v>53</v>
      </c>
      <c r="G25" s="17">
        <f t="shared" si="1"/>
        <v>0</v>
      </c>
      <c r="H25" s="18" t="s">
        <v>22</v>
      </c>
      <c r="J25" s="28" t="s">
        <v>263</v>
      </c>
      <c r="K25" s="28" t="s">
        <v>69</v>
      </c>
      <c r="L25" s="8" t="s">
        <v>59</v>
      </c>
      <c r="M25" s="55">
        <f t="shared" si="3"/>
        <v>268</v>
      </c>
      <c r="N25" s="21"/>
    </row>
    <row r="26">
      <c r="A26" s="12" t="s">
        <v>123</v>
      </c>
      <c r="B26" s="25" t="s">
        <v>261</v>
      </c>
      <c r="C26" s="23" t="s">
        <v>38</v>
      </c>
      <c r="D26" s="24">
        <v>38.0</v>
      </c>
      <c r="F26" s="16" t="s">
        <v>56</v>
      </c>
      <c r="G26" s="17">
        <f t="shared" si="1"/>
        <v>0</v>
      </c>
      <c r="H26" s="18" t="s">
        <v>22</v>
      </c>
      <c r="J26" s="30" t="s">
        <v>264</v>
      </c>
      <c r="K26" s="30" t="s">
        <v>67</v>
      </c>
      <c r="L26" s="8" t="s">
        <v>41</v>
      </c>
      <c r="M26" s="55">
        <f t="shared" ref="M26:M28" si="4">($L$18+$L$19)/3</f>
        <v>67</v>
      </c>
      <c r="N26" s="21"/>
    </row>
    <row r="27">
      <c r="A27" s="12" t="s">
        <v>39</v>
      </c>
      <c r="B27" s="25" t="s">
        <v>172</v>
      </c>
      <c r="C27" s="23" t="s">
        <v>66</v>
      </c>
      <c r="D27" s="24">
        <v>41.0</v>
      </c>
      <c r="F27" s="16" t="s">
        <v>59</v>
      </c>
      <c r="G27" s="17">
        <f t="shared" si="1"/>
        <v>113</v>
      </c>
      <c r="H27" s="18" t="s">
        <v>170</v>
      </c>
      <c r="J27" s="28" t="s">
        <v>264</v>
      </c>
      <c r="K27" s="28" t="s">
        <v>60</v>
      </c>
      <c r="L27" s="8" t="s">
        <v>38</v>
      </c>
      <c r="M27" s="55">
        <f t="shared" si="4"/>
        <v>67</v>
      </c>
      <c r="N27" s="21"/>
    </row>
    <row r="28">
      <c r="A28" s="12" t="s">
        <v>114</v>
      </c>
      <c r="B28" s="25" t="s">
        <v>50</v>
      </c>
      <c r="C28" s="23" t="s">
        <v>31</v>
      </c>
      <c r="D28" s="24">
        <v>34.0</v>
      </c>
      <c r="F28" s="16" t="s">
        <v>61</v>
      </c>
      <c r="G28" s="17">
        <f t="shared" si="1"/>
        <v>52</v>
      </c>
      <c r="H28" s="18" t="s">
        <v>170</v>
      </c>
      <c r="J28" s="31" t="s">
        <v>264</v>
      </c>
      <c r="K28" s="31" t="s">
        <v>76</v>
      </c>
      <c r="L28" s="8" t="s">
        <v>70</v>
      </c>
      <c r="M28" s="55">
        <f t="shared" si="4"/>
        <v>67</v>
      </c>
      <c r="N28" s="21"/>
    </row>
    <row r="29">
      <c r="A29" s="12" t="s">
        <v>77</v>
      </c>
      <c r="B29" s="25" t="s">
        <v>58</v>
      </c>
      <c r="C29" s="23" t="s">
        <v>61</v>
      </c>
      <c r="D29" s="24">
        <v>30.0</v>
      </c>
      <c r="F29" s="16" t="s">
        <v>63</v>
      </c>
      <c r="G29" s="17">
        <f t="shared" si="1"/>
        <v>182</v>
      </c>
      <c r="H29" s="18" t="s">
        <v>170</v>
      </c>
      <c r="J29" s="31"/>
      <c r="K29" s="31"/>
      <c r="N29" s="21"/>
    </row>
    <row r="30">
      <c r="A30" s="12" t="s">
        <v>265</v>
      </c>
      <c r="B30" s="25" t="s">
        <v>58</v>
      </c>
      <c r="C30" s="23" t="s">
        <v>48</v>
      </c>
      <c r="D30" s="24">
        <v>31.0</v>
      </c>
      <c r="F30" s="16" t="s">
        <v>66</v>
      </c>
      <c r="G30" s="17">
        <f t="shared" si="1"/>
        <v>130</v>
      </c>
      <c r="H30" s="18" t="s">
        <v>170</v>
      </c>
      <c r="J30" s="31"/>
      <c r="K30" s="31"/>
      <c r="N30" s="21"/>
    </row>
    <row r="31">
      <c r="A31" s="12" t="s">
        <v>69</v>
      </c>
      <c r="B31" s="25" t="s">
        <v>176</v>
      </c>
      <c r="C31" s="23" t="s">
        <v>59</v>
      </c>
      <c r="D31" s="24">
        <v>41.0</v>
      </c>
      <c r="F31" s="16" t="s">
        <v>262</v>
      </c>
      <c r="G31" s="17">
        <f t="shared" si="1"/>
        <v>92</v>
      </c>
      <c r="H31" s="18" t="s">
        <v>170</v>
      </c>
      <c r="J31" s="8"/>
      <c r="K31" s="8"/>
      <c r="M31" s="32"/>
      <c r="N31" s="21"/>
    </row>
    <row r="32">
      <c r="A32" s="12" t="s">
        <v>178</v>
      </c>
      <c r="B32" s="25" t="s">
        <v>176</v>
      </c>
      <c r="C32" s="23" t="s">
        <v>59</v>
      </c>
      <c r="D32" s="24">
        <v>29.0</v>
      </c>
      <c r="F32" s="16" t="s">
        <v>70</v>
      </c>
      <c r="G32" s="33">
        <f t="shared" si="1"/>
        <v>42</v>
      </c>
      <c r="H32" s="18" t="s">
        <v>170</v>
      </c>
      <c r="I32" s="8"/>
      <c r="J32" s="8"/>
      <c r="K32" s="8"/>
      <c r="L32" s="8"/>
      <c r="N32" s="21"/>
    </row>
    <row r="33">
      <c r="A33" s="12" t="s">
        <v>96</v>
      </c>
      <c r="B33" s="25" t="s">
        <v>176</v>
      </c>
      <c r="C33" s="23" t="s">
        <v>66</v>
      </c>
      <c r="D33" s="24">
        <v>28.0</v>
      </c>
      <c r="F33" s="34" t="s">
        <v>73</v>
      </c>
      <c r="G33" s="35">
        <f>SUM(G15:G32)</f>
        <v>1340</v>
      </c>
      <c r="H33" s="36"/>
      <c r="I33" s="8"/>
      <c r="J33" s="8"/>
      <c r="K33" s="8"/>
      <c r="L33" s="8"/>
      <c r="N33" s="21"/>
    </row>
    <row r="34">
      <c r="A34" s="12" t="s">
        <v>57</v>
      </c>
      <c r="B34" s="25" t="s">
        <v>176</v>
      </c>
      <c r="C34" s="23" t="s">
        <v>31</v>
      </c>
      <c r="D34" s="24">
        <v>25.0</v>
      </c>
      <c r="F34" s="34"/>
      <c r="G34" s="37"/>
      <c r="H34" s="8"/>
      <c r="I34" s="8"/>
      <c r="J34" s="8"/>
      <c r="K34" s="8"/>
      <c r="L34" s="8"/>
      <c r="N34" s="21"/>
    </row>
    <row r="35">
      <c r="A35" s="12" t="s">
        <v>233</v>
      </c>
      <c r="B35" s="25" t="s">
        <v>65</v>
      </c>
      <c r="C35" s="23" t="s">
        <v>41</v>
      </c>
      <c r="D35" s="24">
        <v>30.0</v>
      </c>
      <c r="K35" s="8"/>
      <c r="L35" s="8"/>
      <c r="N35" s="21"/>
    </row>
    <row r="36">
      <c r="A36" s="8" t="s">
        <v>97</v>
      </c>
      <c r="B36" s="25" t="s">
        <v>65</v>
      </c>
      <c r="C36" s="23" t="s">
        <v>48</v>
      </c>
      <c r="D36" s="24">
        <v>24.0</v>
      </c>
      <c r="F36" s="38" t="s">
        <v>21</v>
      </c>
      <c r="G36" s="38" t="s">
        <v>25</v>
      </c>
      <c r="H36" s="38" t="s">
        <v>28</v>
      </c>
      <c r="I36" s="38" t="s">
        <v>31</v>
      </c>
      <c r="J36" s="38" t="s">
        <v>35</v>
      </c>
      <c r="K36" s="38" t="s">
        <v>38</v>
      </c>
      <c r="N36" s="21"/>
    </row>
    <row r="37">
      <c r="A37" s="12" t="s">
        <v>74</v>
      </c>
      <c r="B37" s="25" t="s">
        <v>72</v>
      </c>
      <c r="C37" s="23" t="s">
        <v>59</v>
      </c>
      <c r="D37" s="24">
        <v>21.0</v>
      </c>
      <c r="F37" s="12"/>
      <c r="G37" s="12"/>
      <c r="H37" s="12"/>
      <c r="I37" s="12" t="str">
        <f t="shared" ref="I37:I43" si="5">INDEX($A$15:$A$56,SMALL(IF($I$36=$C$15:$C$56,row($C$15:$C$56)-row($C$15)+1),row(1:1)))</f>
        <v>Jon Rahm</v>
      </c>
      <c r="J37" s="12" t="str">
        <f t="array" ref="J37">INDEX($A$15:$A$56,SMALL(IF($J$36=$C$15:$C$56,row($C$15:$C$56)-row($C$15)+1),row(1:1)))</f>
        <v>Tyrrell Hatton</v>
      </c>
      <c r="K37" s="12" t="str">
        <f t="shared" ref="K37:K41" si="6">INDEX($A$15:$A$56,SMALL(IF($K$36=$C$15:$C$56,row($C$15:$C$56)-row($C$15)+1),row(1:1)))</f>
        <v>Scottie Scheffler</v>
      </c>
      <c r="L37" s="8"/>
    </row>
    <row r="38">
      <c r="A38" s="12" t="s">
        <v>46</v>
      </c>
      <c r="B38" s="25" t="s">
        <v>72</v>
      </c>
      <c r="C38" s="23" t="s">
        <v>63</v>
      </c>
      <c r="D38" s="24">
        <v>30.0</v>
      </c>
      <c r="F38" s="12"/>
      <c r="G38" s="12"/>
      <c r="H38" s="12"/>
      <c r="I38" s="12" t="str">
        <f t="shared" si="5"/>
        <v>Justin Thomas</v>
      </c>
      <c r="J38" s="12"/>
      <c r="K38" s="12" t="str">
        <f t="shared" si="6"/>
        <v>Cameron Smith</v>
      </c>
    </row>
    <row r="39">
      <c r="A39" s="12" t="s">
        <v>175</v>
      </c>
      <c r="B39" s="25" t="s">
        <v>75</v>
      </c>
      <c r="C39" s="23" t="s">
        <v>35</v>
      </c>
      <c r="D39" s="24">
        <v>16.0</v>
      </c>
      <c r="F39" s="12"/>
      <c r="G39" s="12"/>
      <c r="H39" s="12"/>
      <c r="I39" s="12" t="str">
        <f t="shared" si="5"/>
        <v>Max Homa</v>
      </c>
      <c r="J39" s="12"/>
      <c r="K39" s="12" t="str">
        <f t="shared" si="6"/>
        <v>Dustin Johnson</v>
      </c>
    </row>
    <row r="40">
      <c r="A40" s="12" t="s">
        <v>52</v>
      </c>
      <c r="B40" s="25" t="s">
        <v>75</v>
      </c>
      <c r="C40" s="23" t="s">
        <v>66</v>
      </c>
      <c r="D40" s="24">
        <v>16.0</v>
      </c>
      <c r="F40" s="12"/>
      <c r="G40" s="12"/>
      <c r="H40" s="12"/>
      <c r="I40" s="12" t="str">
        <f t="shared" si="5"/>
        <v>Hideki Matsuyama</v>
      </c>
      <c r="J40" s="12"/>
      <c r="K40" s="12" t="str">
        <f t="shared" si="6"/>
        <v>Patrick Reed</v>
      </c>
    </row>
    <row r="41">
      <c r="A41" s="12" t="s">
        <v>62</v>
      </c>
      <c r="B41" s="25" t="s">
        <v>75</v>
      </c>
      <c r="C41" s="23" t="s">
        <v>61</v>
      </c>
      <c r="D41" s="24">
        <v>22.0</v>
      </c>
      <c r="F41" s="12"/>
      <c r="G41" s="12"/>
      <c r="H41" s="12"/>
      <c r="I41" s="12" t="str">
        <f t="shared" si="5"/>
        <v>Adam Scott</v>
      </c>
      <c r="J41" s="12"/>
      <c r="K41" s="12" t="str">
        <f t="shared" si="6"/>
        <v>Abraham Ancer</v>
      </c>
    </row>
    <row r="42">
      <c r="A42" s="12" t="s">
        <v>60</v>
      </c>
      <c r="B42" s="25" t="s">
        <v>266</v>
      </c>
      <c r="C42" s="23" t="s">
        <v>38</v>
      </c>
      <c r="D42" s="24">
        <v>21.0</v>
      </c>
      <c r="F42" s="12"/>
      <c r="G42" s="12"/>
      <c r="H42" s="12"/>
      <c r="I42" s="12" t="str">
        <f t="shared" si="5"/>
        <v>Louis Oosthuizen</v>
      </c>
      <c r="J42" s="12"/>
      <c r="K42" s="12"/>
    </row>
    <row r="43">
      <c r="A43" s="12" t="s">
        <v>171</v>
      </c>
      <c r="B43" s="25" t="s">
        <v>85</v>
      </c>
      <c r="C43" s="23" t="s">
        <v>48</v>
      </c>
      <c r="D43" s="24">
        <v>15.0</v>
      </c>
      <c r="F43" s="12"/>
      <c r="G43" s="12"/>
      <c r="H43" s="12"/>
      <c r="I43" s="12" t="str">
        <f t="shared" si="5"/>
        <v>Tom Hoge</v>
      </c>
      <c r="J43" s="12"/>
      <c r="K43" s="12"/>
    </row>
    <row r="44">
      <c r="A44" s="12" t="s">
        <v>236</v>
      </c>
      <c r="B44" s="25" t="s">
        <v>181</v>
      </c>
      <c r="C44" s="23" t="s">
        <v>63</v>
      </c>
      <c r="D44" s="24">
        <v>22.0</v>
      </c>
      <c r="F44" s="12"/>
      <c r="G44" s="12"/>
      <c r="H44" s="12"/>
      <c r="I44" s="12"/>
      <c r="J44" s="12"/>
      <c r="K44" s="12"/>
    </row>
    <row r="45">
      <c r="A45" s="12" t="s">
        <v>183</v>
      </c>
      <c r="B45" s="25" t="s">
        <v>92</v>
      </c>
      <c r="C45" s="23" t="s">
        <v>41</v>
      </c>
      <c r="D45" s="24">
        <v>18.0</v>
      </c>
      <c r="F45" s="12"/>
      <c r="G45" s="12"/>
      <c r="H45" s="12"/>
      <c r="I45" s="12"/>
      <c r="J45" s="12"/>
      <c r="K45" s="12"/>
    </row>
    <row r="46">
      <c r="A46" s="12" t="s">
        <v>80</v>
      </c>
      <c r="B46" s="25" t="s">
        <v>235</v>
      </c>
      <c r="C46" s="23" t="s">
        <v>31</v>
      </c>
      <c r="D46" s="24">
        <v>14.0</v>
      </c>
      <c r="F46" s="38" t="s">
        <v>41</v>
      </c>
      <c r="G46" s="38" t="s">
        <v>229</v>
      </c>
      <c r="H46" s="38" t="s">
        <v>48</v>
      </c>
      <c r="I46" s="38" t="s">
        <v>51</v>
      </c>
      <c r="J46" s="38" t="s">
        <v>53</v>
      </c>
      <c r="K46" s="38" t="s">
        <v>56</v>
      </c>
    </row>
    <row r="47">
      <c r="A47" s="12" t="s">
        <v>71</v>
      </c>
      <c r="B47" s="25" t="s">
        <v>235</v>
      </c>
      <c r="C47" s="23" t="s">
        <v>59</v>
      </c>
      <c r="D47" s="24">
        <v>17.0</v>
      </c>
      <c r="F47" s="12" t="str">
        <f t="shared" ref="F47:F50" si="8">INDEX($A$15:$A$56,SMALL(IF(F$46=$C$15:$C$56,row($C$15:$C$56)-row($C$15)+1),row(1:1)))</f>
        <v>Jordan Spieth</v>
      </c>
      <c r="G47" s="12"/>
      <c r="H47" s="12" t="str">
        <f t="shared" ref="H47:I47" si="7">INDEX($A$15:$A$56,SMALL(IF(H$46=$C$15:$C$56,row($C$15:$C$56)-row($C$15)+1),row(1:1)))</f>
        <v>Sung Jae Im</v>
      </c>
      <c r="I47" s="12" t="str">
        <f t="shared" si="7"/>
        <v>Patrick Cantlay</v>
      </c>
      <c r="J47" s="12"/>
      <c r="K47" s="12"/>
    </row>
    <row r="48">
      <c r="A48" s="12" t="s">
        <v>267</v>
      </c>
      <c r="B48" s="25" t="s">
        <v>95</v>
      </c>
      <c r="C48" s="23" t="s">
        <v>31</v>
      </c>
      <c r="D48" s="24">
        <v>12.0</v>
      </c>
      <c r="F48" s="12" t="str">
        <f t="shared" si="8"/>
        <v>Matthew Fitzpatrick</v>
      </c>
      <c r="G48" s="12"/>
      <c r="H48" s="12" t="str">
        <f t="shared" ref="H48:I48" si="9">INDEX($A$15:$A$56,SMALL(IF(H$46=$C$15:$C$56,row($C$15:$C$56)-row($C$15)+1),row(2:2)))</f>
        <v>Corey Conners</v>
      </c>
      <c r="I48" s="12" t="str">
        <f t="shared" si="9"/>
        <v>Keegan Bradley</v>
      </c>
      <c r="J48" s="12"/>
      <c r="K48" s="12"/>
    </row>
    <row r="49">
      <c r="A49" s="12" t="s">
        <v>207</v>
      </c>
      <c r="B49" s="25" t="s">
        <v>95</v>
      </c>
      <c r="C49" s="23" t="s">
        <v>31</v>
      </c>
      <c r="D49" s="24">
        <v>14.0</v>
      </c>
      <c r="F49" s="12" t="str">
        <f t="shared" si="8"/>
        <v>Tom Kim</v>
      </c>
      <c r="G49" s="12"/>
      <c r="H49" s="12" t="str">
        <f t="shared" ref="H49:H50" si="10">INDEX($A$15:$A$56,SMALL(IF(H$46=$C$15:$C$56,row($C$15:$C$56)-row($C$15)+1),row(3:3)))</f>
        <v>Joaquin Niemann</v>
      </c>
      <c r="I49" s="12"/>
      <c r="J49" s="12"/>
      <c r="K49" s="12"/>
    </row>
    <row r="50">
      <c r="A50" s="12" t="s">
        <v>268</v>
      </c>
      <c r="B50" s="25" t="s">
        <v>95</v>
      </c>
      <c r="C50" s="23" t="s">
        <v>41</v>
      </c>
      <c r="D50" s="24">
        <v>12.0</v>
      </c>
      <c r="F50" s="12" t="str">
        <f t="shared" si="8"/>
        <v>Mito Pereira</v>
      </c>
      <c r="G50" s="12"/>
      <c r="H50" s="12" t="str">
        <f t="shared" si="10"/>
        <v>Bryson DeChambeau</v>
      </c>
      <c r="I50" s="12"/>
      <c r="J50" s="12"/>
      <c r="K50" s="12"/>
      <c r="L50" s="12"/>
    </row>
    <row r="51">
      <c r="A51" s="12" t="s">
        <v>30</v>
      </c>
      <c r="B51" s="25" t="s">
        <v>182</v>
      </c>
      <c r="C51" s="23" t="s">
        <v>48</v>
      </c>
      <c r="D51" s="24">
        <v>18.0</v>
      </c>
      <c r="F51" s="12"/>
      <c r="G51" s="12"/>
      <c r="H51" s="12"/>
      <c r="I51" s="12"/>
      <c r="J51" s="12"/>
      <c r="K51" s="12"/>
      <c r="L51" s="12"/>
    </row>
    <row r="52">
      <c r="A52" s="12" t="s">
        <v>122</v>
      </c>
      <c r="B52" s="25" t="s">
        <v>182</v>
      </c>
      <c r="C52" s="23" t="s">
        <v>51</v>
      </c>
      <c r="D52" s="24">
        <v>5.0</v>
      </c>
      <c r="F52" s="12"/>
      <c r="G52" s="12"/>
      <c r="H52" s="12"/>
      <c r="I52" s="12"/>
      <c r="J52" s="12"/>
      <c r="K52" s="12"/>
      <c r="L52" s="12"/>
    </row>
    <row r="53">
      <c r="A53" s="39" t="s">
        <v>184</v>
      </c>
      <c r="B53" s="40" t="s">
        <v>182</v>
      </c>
      <c r="C53" s="23" t="s">
        <v>59</v>
      </c>
      <c r="D53" s="23">
        <v>5.0</v>
      </c>
      <c r="F53" s="12"/>
      <c r="G53" s="12"/>
      <c r="H53" s="12"/>
      <c r="I53" s="12"/>
      <c r="J53" s="12"/>
      <c r="K53" s="12"/>
      <c r="L53" s="12"/>
    </row>
    <row r="54">
      <c r="A54" s="39" t="s">
        <v>269</v>
      </c>
      <c r="B54" s="40" t="s">
        <v>182</v>
      </c>
      <c r="C54" s="23" t="s">
        <v>63</v>
      </c>
      <c r="D54" s="23">
        <v>4.0</v>
      </c>
      <c r="F54" s="12"/>
      <c r="G54" s="12"/>
      <c r="H54" s="12"/>
      <c r="I54" s="12"/>
      <c r="J54" s="12"/>
      <c r="K54" s="12"/>
      <c r="L54" s="8"/>
    </row>
    <row r="55">
      <c r="A55" s="39" t="s">
        <v>270</v>
      </c>
      <c r="B55" s="40" t="s">
        <v>182</v>
      </c>
      <c r="C55" s="23" t="s">
        <v>38</v>
      </c>
      <c r="D55" s="23">
        <v>8.0</v>
      </c>
      <c r="L55" s="8"/>
    </row>
    <row r="56">
      <c r="A56" s="43" t="s">
        <v>103</v>
      </c>
      <c r="B56" s="44" t="s">
        <v>187</v>
      </c>
      <c r="C56" s="45" t="s">
        <v>70</v>
      </c>
      <c r="D56" s="45">
        <v>42.0</v>
      </c>
      <c r="E56" s="41"/>
      <c r="L56" s="42"/>
      <c r="M56" s="41"/>
      <c r="N56" s="41"/>
      <c r="O56" s="41"/>
      <c r="P56" s="41"/>
      <c r="Q56" s="41"/>
      <c r="R56" s="41"/>
      <c r="S56" s="41"/>
      <c r="T56" s="41"/>
      <c r="U56" s="41"/>
      <c r="V56" s="41"/>
      <c r="W56" s="41"/>
      <c r="X56" s="41"/>
      <c r="Y56" s="41"/>
      <c r="Z56" s="41"/>
    </row>
    <row r="57">
      <c r="A57" s="12"/>
      <c r="B57" s="46"/>
      <c r="C57" s="34" t="s">
        <v>104</v>
      </c>
      <c r="D57" s="37">
        <f>sum(D15:D56)</f>
        <v>1340</v>
      </c>
      <c r="F57" s="38" t="s">
        <v>59</v>
      </c>
      <c r="G57" s="38" t="s">
        <v>61</v>
      </c>
      <c r="H57" s="38" t="s">
        <v>63</v>
      </c>
      <c r="I57" s="38" t="s">
        <v>66</v>
      </c>
      <c r="J57" s="38" t="s">
        <v>262</v>
      </c>
      <c r="K57" s="38" t="s">
        <v>70</v>
      </c>
      <c r="L57" s="8"/>
    </row>
    <row r="58">
      <c r="A58" s="47" t="s">
        <v>105</v>
      </c>
      <c r="B58" s="47"/>
      <c r="C58" s="18" t="s">
        <v>106</v>
      </c>
      <c r="D58" s="36" t="str">
        <f>if(G33-D57=0,"No","Yes")</f>
        <v>No</v>
      </c>
      <c r="F58" s="12" t="str">
        <f t="shared" ref="F58:K58" si="11">INDEX($A$15:$A$56,SMALL(IF(F$57=$C$15:$C$56,row($C$15:$C$56)-row($C$15)+1),row(1:1)))</f>
        <v>Brooks Koepka</v>
      </c>
      <c r="G58" s="12" t="str">
        <f t="shared" si="11"/>
        <v>Viktor Hovland</v>
      </c>
      <c r="H58" s="12" t="str">
        <f t="shared" si="11"/>
        <v>Rory McIlroy</v>
      </c>
      <c r="I58" s="12" t="str">
        <f t="shared" si="11"/>
        <v>Xander Schauffele</v>
      </c>
      <c r="J58" s="12" t="str">
        <f t="shared" si="11"/>
        <v>Collin Morikawa</v>
      </c>
      <c r="K58" s="12" t="str">
        <f t="shared" si="11"/>
        <v>The Field</v>
      </c>
      <c r="L58" s="8"/>
    </row>
    <row r="59">
      <c r="A59" s="48" t="s">
        <v>131</v>
      </c>
      <c r="B59" s="46" t="s">
        <v>108</v>
      </c>
      <c r="F59" s="12" t="str">
        <f t="shared" ref="F59:J59" si="12">INDEX($A$15:$A$56,SMALL(IF(F$57=$C$15:$C$56,row($C$15:$C$56)-row($C$15)+1),row(2:2)))</f>
        <v>Will Zalatoris</v>
      </c>
      <c r="G59" s="12" t="str">
        <f t="shared" si="12"/>
        <v>Min Woo Lee</v>
      </c>
      <c r="H59" s="12" t="str">
        <f t="shared" si="12"/>
        <v>Tony Finau</v>
      </c>
      <c r="I59" s="12" t="str">
        <f t="shared" si="12"/>
        <v>Cameron Young</v>
      </c>
      <c r="J59" s="12" t="str">
        <f t="shared" si="12"/>
        <v>Jason Day</v>
      </c>
      <c r="K59" s="12"/>
      <c r="L59" s="8"/>
    </row>
    <row r="60">
      <c r="A60" s="48" t="s">
        <v>252</v>
      </c>
      <c r="B60" s="46" t="s">
        <v>108</v>
      </c>
      <c r="F60" s="12" t="str">
        <f t="shared" ref="F60:F62" si="14">INDEX($A$15:$A$56,SMALL(IF(F$57=$C$15:$C$56,row($C$15:$C$56)-row($C$15)+1),row(3:3)))</f>
        <v>Shane Lowry</v>
      </c>
      <c r="G60" s="12"/>
      <c r="H60" s="12" t="str">
        <f t="shared" ref="H60:I60" si="13">INDEX($A$15:$A$56,SMALL(IF(H$57=$C$15:$C$56,row($C$15:$C$56)-row($C$15)+1),row(3:3)))</f>
        <v>Tommy Fleetwood</v>
      </c>
      <c r="I60" s="12" t="str">
        <f t="shared" si="13"/>
        <v>Sam Burns</v>
      </c>
      <c r="J60" s="12"/>
      <c r="K60" s="12"/>
      <c r="L60" s="8"/>
    </row>
    <row r="61">
      <c r="A61" s="48" t="s">
        <v>107</v>
      </c>
      <c r="B61" s="46" t="s">
        <v>108</v>
      </c>
      <c r="C61" s="12"/>
      <c r="F61" s="12" t="str">
        <f t="shared" si="14"/>
        <v>Si Woo Kim</v>
      </c>
      <c r="G61" s="12"/>
      <c r="H61" s="12" t="str">
        <f t="shared" ref="H61:I61" si="15">INDEX($A$15:$A$56,SMALL(IF(H$57=$C$15:$C$56,row($C$15:$C$56)-row($C$15)+1),row(4:4)))</f>
        <v>Tiger Woods</v>
      </c>
      <c r="I61" s="12" t="str">
        <f t="shared" si="15"/>
        <v>Justin Rose</v>
      </c>
      <c r="J61" s="12"/>
      <c r="K61" s="12"/>
      <c r="L61" s="8"/>
    </row>
    <row r="62">
      <c r="A62" s="48" t="s">
        <v>271</v>
      </c>
      <c r="B62" s="46" t="s">
        <v>272</v>
      </c>
      <c r="C62" s="12"/>
      <c r="F62" s="12" t="str">
        <f t="shared" si="14"/>
        <v>Sahith Theegala</v>
      </c>
      <c r="G62" s="12"/>
      <c r="H62" s="12" t="str">
        <f t="array" ref="H62">INDEX($A$15:$A$56,SMALL(IF(H$57=$C$15:$C$56,row($C$15:$C$56)-row($C$15)+1),row(5:5)))</f>
        <v>Keith Mitchell</v>
      </c>
      <c r="I62" s="12"/>
      <c r="J62" s="12"/>
      <c r="K62" s="12"/>
      <c r="L62" s="8"/>
    </row>
    <row r="63">
      <c r="A63" s="48" t="s">
        <v>76</v>
      </c>
      <c r="B63" s="46" t="s">
        <v>111</v>
      </c>
      <c r="F63" s="12"/>
      <c r="G63" s="12"/>
      <c r="H63" s="12"/>
      <c r="I63" s="12"/>
      <c r="J63" s="12"/>
      <c r="K63" s="12"/>
      <c r="L63" s="8"/>
    </row>
    <row r="64">
      <c r="A64" s="48" t="s">
        <v>273</v>
      </c>
      <c r="B64" s="46" t="s">
        <v>111</v>
      </c>
      <c r="F64" s="12"/>
      <c r="G64" s="12"/>
      <c r="H64" s="12"/>
      <c r="I64" s="12"/>
      <c r="J64" s="12"/>
      <c r="K64" s="12"/>
      <c r="L64" s="8"/>
    </row>
    <row r="65">
      <c r="A65" s="48" t="s">
        <v>209</v>
      </c>
      <c r="B65" s="46" t="s">
        <v>111</v>
      </c>
      <c r="F65" s="12"/>
      <c r="G65" s="12"/>
      <c r="H65" s="12"/>
      <c r="I65" s="12"/>
      <c r="J65" s="12"/>
      <c r="K65" s="12"/>
      <c r="L65" s="8"/>
    </row>
    <row r="66">
      <c r="A66" s="48" t="s">
        <v>274</v>
      </c>
      <c r="B66" s="46" t="s">
        <v>111</v>
      </c>
      <c r="C66" s="12"/>
      <c r="G66" s="8"/>
      <c r="H66" s="8"/>
      <c r="I66" s="8"/>
      <c r="J66" s="8"/>
      <c r="K66" s="8"/>
      <c r="L66" s="8"/>
    </row>
    <row r="67">
      <c r="A67" s="48" t="s">
        <v>189</v>
      </c>
      <c r="B67" s="46" t="s">
        <v>116</v>
      </c>
      <c r="C67" s="12"/>
      <c r="H67" s="8"/>
      <c r="I67" s="8"/>
      <c r="J67" s="8"/>
      <c r="K67" s="8"/>
      <c r="L67" s="8"/>
    </row>
    <row r="68">
      <c r="A68" s="48" t="s">
        <v>115</v>
      </c>
      <c r="B68" s="46" t="s">
        <v>116</v>
      </c>
      <c r="C68" s="12"/>
      <c r="G68" s="8"/>
      <c r="H68" s="8"/>
      <c r="I68" s="8"/>
      <c r="J68" s="8"/>
      <c r="K68" s="8"/>
      <c r="L68" s="8"/>
    </row>
    <row r="69">
      <c r="A69" s="48" t="s">
        <v>109</v>
      </c>
      <c r="B69" s="46" t="s">
        <v>197</v>
      </c>
      <c r="C69" s="12"/>
      <c r="F69" s="8"/>
      <c r="G69" s="8"/>
      <c r="H69" s="8"/>
      <c r="I69" s="8"/>
      <c r="J69" s="8"/>
      <c r="K69" s="8"/>
      <c r="L69" s="8"/>
    </row>
    <row r="70">
      <c r="A70" s="48" t="s">
        <v>100</v>
      </c>
      <c r="B70" s="46" t="s">
        <v>197</v>
      </c>
      <c r="C70" s="12"/>
      <c r="F70" s="8"/>
      <c r="G70" s="8"/>
      <c r="H70" s="8"/>
      <c r="I70" s="8"/>
      <c r="J70" s="8"/>
      <c r="K70" s="8"/>
      <c r="L70" s="8"/>
    </row>
    <row r="71">
      <c r="A71" s="48" t="s">
        <v>275</v>
      </c>
      <c r="B71" s="46" t="s">
        <v>197</v>
      </c>
      <c r="C71" s="12"/>
      <c r="F71" s="8"/>
      <c r="G71" s="8"/>
      <c r="H71" s="8"/>
      <c r="I71" s="8"/>
      <c r="J71" s="8"/>
      <c r="K71" s="8"/>
      <c r="L71" s="8"/>
    </row>
    <row r="72">
      <c r="A72" s="48" t="s">
        <v>243</v>
      </c>
      <c r="B72" s="46" t="s">
        <v>197</v>
      </c>
      <c r="C72" s="12"/>
      <c r="F72" s="8"/>
      <c r="G72" s="8"/>
      <c r="H72" s="8"/>
      <c r="I72" s="8"/>
      <c r="J72" s="8"/>
      <c r="K72" s="8"/>
      <c r="L72" s="8"/>
    </row>
    <row r="73">
      <c r="A73" s="48" t="s">
        <v>117</v>
      </c>
      <c r="B73" s="46" t="s">
        <v>197</v>
      </c>
      <c r="C73" s="12"/>
      <c r="F73" s="8"/>
      <c r="G73" s="8"/>
      <c r="H73" s="8"/>
      <c r="I73" s="8"/>
      <c r="J73" s="8"/>
      <c r="K73" s="8"/>
      <c r="L73" s="8"/>
    </row>
    <row r="74">
      <c r="A74" s="48" t="s">
        <v>186</v>
      </c>
      <c r="B74" s="46" t="s">
        <v>197</v>
      </c>
      <c r="C74" s="12"/>
      <c r="F74" s="8"/>
      <c r="G74" s="8"/>
      <c r="H74" s="8"/>
      <c r="I74" s="8"/>
      <c r="J74" s="8"/>
      <c r="K74" s="8"/>
      <c r="L74" s="8"/>
    </row>
    <row r="75">
      <c r="A75" s="48" t="s">
        <v>276</v>
      </c>
      <c r="B75" s="46" t="s">
        <v>197</v>
      </c>
      <c r="C75" s="12"/>
      <c r="F75" s="8"/>
      <c r="G75" s="8"/>
      <c r="H75" s="8"/>
      <c r="I75" s="8"/>
      <c r="J75" s="8"/>
      <c r="K75" s="8"/>
      <c r="L75" s="8"/>
    </row>
    <row r="76">
      <c r="A76" s="48" t="s">
        <v>144</v>
      </c>
      <c r="B76" s="46" t="s">
        <v>121</v>
      </c>
      <c r="C76" s="12"/>
      <c r="F76" s="8"/>
      <c r="G76" s="8"/>
      <c r="H76" s="8"/>
      <c r="I76" s="8"/>
      <c r="J76" s="8"/>
      <c r="K76" s="8"/>
      <c r="L76" s="8"/>
    </row>
    <row r="77">
      <c r="A77" s="48" t="s">
        <v>196</v>
      </c>
      <c r="B77" s="46" t="s">
        <v>121</v>
      </c>
      <c r="C77" s="12"/>
      <c r="F77" s="8"/>
      <c r="G77" s="8"/>
      <c r="H77" s="8"/>
      <c r="I77" s="8"/>
      <c r="J77" s="8"/>
      <c r="K77" s="8"/>
      <c r="L77" s="8"/>
    </row>
    <row r="78">
      <c r="A78" s="48" t="s">
        <v>277</v>
      </c>
      <c r="B78" s="46" t="s">
        <v>121</v>
      </c>
      <c r="C78" s="12"/>
      <c r="F78" s="8"/>
      <c r="G78" s="8"/>
      <c r="H78" s="8"/>
      <c r="I78" s="8"/>
      <c r="J78" s="8"/>
      <c r="K78" s="8"/>
      <c r="L78" s="8"/>
    </row>
    <row r="79">
      <c r="A79" s="48" t="s">
        <v>98</v>
      </c>
      <c r="B79" s="46" t="s">
        <v>127</v>
      </c>
      <c r="C79" s="12"/>
      <c r="F79" s="8"/>
      <c r="G79" s="8"/>
      <c r="H79" s="8"/>
      <c r="I79" s="8"/>
      <c r="J79" s="8"/>
      <c r="K79" s="8"/>
      <c r="L79" s="8"/>
    </row>
    <row r="80">
      <c r="A80" s="48" t="s">
        <v>278</v>
      </c>
      <c r="B80" s="46" t="s">
        <v>127</v>
      </c>
      <c r="C80" s="12"/>
      <c r="F80" s="8"/>
      <c r="G80" s="8"/>
      <c r="H80" s="8"/>
      <c r="I80" s="8"/>
      <c r="J80" s="8"/>
      <c r="K80" s="8"/>
      <c r="L80" s="8"/>
    </row>
    <row r="81">
      <c r="A81" s="48" t="s">
        <v>148</v>
      </c>
      <c r="B81" s="46" t="s">
        <v>127</v>
      </c>
      <c r="C81" s="12"/>
      <c r="F81" s="8"/>
      <c r="G81" s="8"/>
      <c r="H81" s="8"/>
      <c r="I81" s="8"/>
      <c r="J81" s="8"/>
      <c r="K81" s="8"/>
      <c r="L81" s="8"/>
    </row>
    <row r="82">
      <c r="A82" s="48" t="s">
        <v>279</v>
      </c>
      <c r="B82" s="46" t="s">
        <v>127</v>
      </c>
      <c r="C82" s="12"/>
      <c r="F82" s="8"/>
      <c r="G82" s="8"/>
      <c r="H82" s="8"/>
      <c r="I82" s="8"/>
      <c r="J82" s="8"/>
      <c r="K82" s="8"/>
      <c r="L82" s="8"/>
    </row>
    <row r="83">
      <c r="A83" s="48" t="s">
        <v>280</v>
      </c>
      <c r="B83" s="46" t="s">
        <v>203</v>
      </c>
      <c r="C83" s="12"/>
      <c r="F83" s="8"/>
      <c r="G83" s="8"/>
      <c r="H83" s="8"/>
      <c r="I83" s="8"/>
      <c r="J83" s="8"/>
      <c r="K83" s="8"/>
      <c r="L83" s="8"/>
    </row>
    <row r="84">
      <c r="A84" s="48" t="s">
        <v>281</v>
      </c>
      <c r="B84" s="46" t="s">
        <v>203</v>
      </c>
      <c r="C84" s="12"/>
      <c r="F84" s="8"/>
      <c r="G84" s="8"/>
      <c r="H84" s="8"/>
      <c r="I84" s="8"/>
      <c r="J84" s="8"/>
      <c r="K84" s="8"/>
      <c r="L84" s="8"/>
    </row>
    <row r="85">
      <c r="A85" s="48" t="s">
        <v>238</v>
      </c>
      <c r="B85" s="46" t="s">
        <v>203</v>
      </c>
      <c r="C85" s="12"/>
      <c r="F85" s="8"/>
      <c r="G85" s="8"/>
      <c r="H85" s="8"/>
      <c r="I85" s="8"/>
      <c r="J85" s="8"/>
      <c r="K85" s="8"/>
      <c r="L85" s="8"/>
    </row>
    <row r="86">
      <c r="A86" s="48" t="s">
        <v>282</v>
      </c>
      <c r="B86" s="46" t="s">
        <v>203</v>
      </c>
      <c r="C86" s="12"/>
      <c r="F86" s="8"/>
      <c r="G86" s="8"/>
      <c r="H86" s="8"/>
      <c r="I86" s="8"/>
      <c r="J86" s="8"/>
      <c r="K86" s="8"/>
      <c r="L86" s="8"/>
    </row>
    <row r="87">
      <c r="A87" s="48" t="s">
        <v>84</v>
      </c>
      <c r="B87" s="46" t="s">
        <v>203</v>
      </c>
      <c r="C87" s="12"/>
      <c r="F87" s="8"/>
      <c r="G87" s="8"/>
      <c r="H87" s="8"/>
      <c r="I87" s="8"/>
      <c r="J87" s="8"/>
      <c r="K87" s="8"/>
      <c r="L87" s="8"/>
    </row>
    <row r="88">
      <c r="A88" s="48" t="s">
        <v>283</v>
      </c>
      <c r="B88" s="46" t="s">
        <v>136</v>
      </c>
      <c r="C88" s="12"/>
      <c r="F88" s="8"/>
      <c r="G88" s="8"/>
      <c r="H88" s="8"/>
      <c r="I88" s="8"/>
      <c r="J88" s="8"/>
      <c r="K88" s="8"/>
      <c r="L88" s="8"/>
    </row>
    <row r="89">
      <c r="A89" s="48" t="s">
        <v>284</v>
      </c>
      <c r="B89" s="46" t="s">
        <v>136</v>
      </c>
      <c r="C89" s="12"/>
      <c r="F89" s="8"/>
      <c r="G89" s="8"/>
      <c r="H89" s="8"/>
      <c r="I89" s="8"/>
      <c r="J89" s="8"/>
      <c r="K89" s="8"/>
      <c r="L89" s="8"/>
    </row>
    <row r="90">
      <c r="A90" s="48" t="s">
        <v>285</v>
      </c>
      <c r="B90" s="46" t="s">
        <v>210</v>
      </c>
      <c r="C90" s="12"/>
      <c r="F90" s="8"/>
      <c r="G90" s="8"/>
      <c r="H90" s="8"/>
      <c r="I90" s="8"/>
      <c r="J90" s="8"/>
      <c r="K90" s="8"/>
      <c r="L90" s="8"/>
    </row>
    <row r="91">
      <c r="A91" s="48" t="s">
        <v>147</v>
      </c>
      <c r="B91" s="46" t="s">
        <v>142</v>
      </c>
      <c r="C91" s="12"/>
      <c r="F91" s="8"/>
      <c r="G91" s="8"/>
      <c r="H91" s="8"/>
      <c r="I91" s="8"/>
      <c r="J91" s="8"/>
      <c r="K91" s="8"/>
      <c r="L91" s="8"/>
    </row>
    <row r="92">
      <c r="A92" s="48" t="s">
        <v>286</v>
      </c>
      <c r="B92" s="46" t="s">
        <v>142</v>
      </c>
      <c r="C92" s="12"/>
      <c r="F92" s="8"/>
      <c r="G92" s="8"/>
      <c r="H92" s="8"/>
      <c r="I92" s="8"/>
      <c r="J92" s="8"/>
      <c r="K92" s="8"/>
      <c r="L92" s="8"/>
    </row>
    <row r="93">
      <c r="A93" s="49" t="s">
        <v>287</v>
      </c>
      <c r="B93" s="50" t="s">
        <v>151</v>
      </c>
      <c r="C93" s="12"/>
      <c r="F93" s="8"/>
      <c r="G93" s="8"/>
      <c r="H93" s="8"/>
      <c r="I93" s="8"/>
      <c r="J93" s="8"/>
      <c r="K93" s="8"/>
      <c r="L93" s="8"/>
    </row>
    <row r="94">
      <c r="A94" s="49" t="s">
        <v>159</v>
      </c>
      <c r="B94" s="50" t="s">
        <v>151</v>
      </c>
      <c r="C94" s="12"/>
      <c r="F94" s="8"/>
      <c r="G94" s="8"/>
      <c r="H94" s="8"/>
      <c r="I94" s="8"/>
      <c r="J94" s="8"/>
      <c r="K94" s="8"/>
      <c r="L94" s="8"/>
    </row>
    <row r="95">
      <c r="A95" s="49" t="s">
        <v>288</v>
      </c>
      <c r="B95" s="50" t="s">
        <v>151</v>
      </c>
      <c r="C95" s="12"/>
      <c r="F95" s="8"/>
      <c r="G95" s="8"/>
      <c r="H95" s="8"/>
      <c r="I95" s="8"/>
      <c r="J95" s="8"/>
      <c r="K95" s="8"/>
      <c r="L95" s="8"/>
    </row>
    <row r="96">
      <c r="A96" s="49" t="s">
        <v>289</v>
      </c>
      <c r="B96" s="50" t="s">
        <v>290</v>
      </c>
      <c r="C96" s="12"/>
      <c r="F96" s="8"/>
      <c r="G96" s="8"/>
      <c r="H96" s="8"/>
      <c r="I96" s="8"/>
      <c r="J96" s="8"/>
      <c r="K96" s="8"/>
      <c r="L96" s="8"/>
    </row>
    <row r="97">
      <c r="A97" s="49" t="s">
        <v>291</v>
      </c>
      <c r="B97" s="50">
        <v>36526.0</v>
      </c>
      <c r="C97" s="12"/>
      <c r="F97" s="8"/>
      <c r="G97" s="8"/>
      <c r="H97" s="8"/>
      <c r="I97" s="8"/>
      <c r="J97" s="8"/>
      <c r="K97" s="8"/>
      <c r="L97" s="8"/>
    </row>
    <row r="98">
      <c r="A98" s="49" t="s">
        <v>292</v>
      </c>
      <c r="B98" s="50">
        <v>36526.0</v>
      </c>
      <c r="C98" s="12"/>
      <c r="F98" s="8"/>
      <c r="G98" s="8"/>
      <c r="H98" s="8"/>
      <c r="I98" s="8"/>
      <c r="J98" s="8"/>
      <c r="K98" s="8"/>
      <c r="L98" s="8"/>
    </row>
    <row r="99">
      <c r="A99" s="49" t="s">
        <v>162</v>
      </c>
      <c r="B99" s="50">
        <v>219148.0</v>
      </c>
      <c r="C99" s="12"/>
      <c r="F99" s="8"/>
      <c r="G99" s="8"/>
      <c r="H99" s="8"/>
      <c r="I99" s="8"/>
      <c r="J99" s="8"/>
      <c r="K99" s="8"/>
      <c r="L99" s="8"/>
    </row>
    <row r="100">
      <c r="A100" s="49" t="s">
        <v>293</v>
      </c>
      <c r="B100" s="50">
        <v>219148.0</v>
      </c>
      <c r="C100" s="12"/>
      <c r="F100" s="8"/>
      <c r="G100" s="8"/>
      <c r="H100" s="8"/>
      <c r="I100" s="8"/>
      <c r="J100" s="8"/>
      <c r="K100" s="8"/>
      <c r="L100" s="8"/>
    </row>
    <row r="101">
      <c r="A101" s="49" t="s">
        <v>294</v>
      </c>
      <c r="B101" s="50">
        <v>219148.0</v>
      </c>
      <c r="C101" s="12"/>
      <c r="F101" s="8"/>
      <c r="G101" s="8"/>
      <c r="H101" s="8"/>
      <c r="I101" s="8"/>
      <c r="J101" s="8"/>
      <c r="K101" s="8"/>
      <c r="L101" s="8"/>
    </row>
    <row r="102">
      <c r="A102" s="49" t="s">
        <v>295</v>
      </c>
      <c r="B102" s="50">
        <v>219148.0</v>
      </c>
      <c r="C102" s="12"/>
      <c r="F102" s="8"/>
      <c r="G102" s="8"/>
      <c r="H102" s="8"/>
      <c r="I102" s="8"/>
      <c r="J102" s="8"/>
      <c r="K102" s="8"/>
      <c r="L102" s="8"/>
    </row>
    <row r="103">
      <c r="A103" s="51" t="s">
        <v>154</v>
      </c>
      <c r="B103" s="50">
        <v>219148.0</v>
      </c>
      <c r="C103" s="12"/>
      <c r="F103" s="8"/>
      <c r="G103" s="8"/>
      <c r="H103" s="8"/>
      <c r="I103" s="8"/>
      <c r="J103" s="8"/>
      <c r="K103" s="8"/>
      <c r="L103" s="8"/>
    </row>
    <row r="104">
      <c r="A104" s="8" t="s">
        <v>155</v>
      </c>
      <c r="B104" s="50">
        <v>219148.0</v>
      </c>
      <c r="C104" s="12"/>
      <c r="F104" s="8"/>
      <c r="G104" s="8"/>
      <c r="H104" s="8"/>
      <c r="I104" s="8"/>
      <c r="J104" s="8"/>
      <c r="K104" s="8"/>
      <c r="L104" s="8"/>
    </row>
    <row r="105">
      <c r="A105" s="8" t="s">
        <v>296</v>
      </c>
      <c r="B105" s="50">
        <v>219148.0</v>
      </c>
      <c r="C105" s="12"/>
      <c r="F105" s="8"/>
      <c r="G105" s="8"/>
      <c r="H105" s="8"/>
      <c r="I105" s="8"/>
      <c r="J105" s="8"/>
      <c r="K105" s="8"/>
      <c r="L105" s="8"/>
    </row>
    <row r="106">
      <c r="B106" s="50"/>
      <c r="C106" s="12"/>
      <c r="L106" s="8"/>
    </row>
    <row r="107">
      <c r="A107" s="53" t="s">
        <v>297</v>
      </c>
      <c r="B107" s="46"/>
      <c r="C107" s="12"/>
      <c r="L107" s="8"/>
    </row>
    <row r="108">
      <c r="A108" s="54" t="s">
        <v>298</v>
      </c>
      <c r="B108" s="46"/>
      <c r="C108" s="12"/>
      <c r="L108" s="8"/>
    </row>
  </sheetData>
  <mergeCells count="5">
    <mergeCell ref="A1:L1"/>
    <mergeCell ref="A2:L2"/>
    <mergeCell ref="A3:L3"/>
    <mergeCell ref="A4:L4"/>
    <mergeCell ref="J22:K22"/>
  </mergeCells>
  <conditionalFormatting sqref="G15:G32 H15:H33">
    <cfRule type="cellIs" dxfId="0" priority="1" operator="equal">
      <formula>"No"</formula>
    </cfRule>
  </conditionalFormatting>
  <conditionalFormatting sqref="G15:G32 H15:H33">
    <cfRule type="cellIs" dxfId="1" priority="2" operator="equal">
      <formula>"Yes"</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4" width="11.88"/>
    <col customWidth="1" min="5" max="5" width="8.88"/>
    <col customWidth="1" min="6" max="11" width="18.25"/>
  </cols>
  <sheetData>
    <row r="1">
      <c r="A1" s="1" t="s">
        <v>299</v>
      </c>
    </row>
    <row r="2">
      <c r="A2" s="2" t="s">
        <v>1</v>
      </c>
    </row>
    <row r="3">
      <c r="A3" s="3" t="s">
        <v>300</v>
      </c>
    </row>
    <row r="4">
      <c r="A4" s="3" t="s">
        <v>3</v>
      </c>
    </row>
    <row r="5">
      <c r="A5" s="4"/>
      <c r="B5" s="4"/>
      <c r="C5" s="4"/>
      <c r="D5" s="4"/>
      <c r="E5" s="4"/>
      <c r="F5" s="4"/>
      <c r="G5" s="4"/>
      <c r="H5" s="4"/>
      <c r="I5" s="4"/>
      <c r="J5" s="5"/>
      <c r="K5" s="5"/>
      <c r="L5" s="5"/>
    </row>
    <row r="6">
      <c r="A6" s="6" t="s">
        <v>4</v>
      </c>
    </row>
    <row r="7">
      <c r="A7" s="7" t="s">
        <v>228</v>
      </c>
      <c r="B7" s="7"/>
      <c r="C7" s="7"/>
      <c r="D7" s="7"/>
      <c r="E7" s="7"/>
      <c r="F7" s="7"/>
      <c r="G7" s="7"/>
      <c r="H7" s="7"/>
      <c r="I7" s="7"/>
      <c r="J7" s="7"/>
      <c r="K7" s="7"/>
      <c r="L7" s="7"/>
    </row>
    <row r="8">
      <c r="A8" s="8" t="s">
        <v>6</v>
      </c>
    </row>
    <row r="9">
      <c r="A9" s="8" t="s">
        <v>7</v>
      </c>
    </row>
    <row r="10">
      <c r="A10" s="8" t="s">
        <v>8</v>
      </c>
    </row>
    <row r="11">
      <c r="A11" s="8" t="s">
        <v>9</v>
      </c>
    </row>
    <row r="14">
      <c r="A14" s="9" t="s">
        <v>10</v>
      </c>
      <c r="B14" s="10" t="s">
        <v>11</v>
      </c>
      <c r="C14" s="10" t="s">
        <v>12</v>
      </c>
      <c r="D14" s="10" t="s">
        <v>13</v>
      </c>
      <c r="F14" s="11" t="s">
        <v>14</v>
      </c>
      <c r="G14" s="11" t="s">
        <v>15</v>
      </c>
      <c r="H14" s="11" t="s">
        <v>16</v>
      </c>
      <c r="J14" s="11" t="s">
        <v>17</v>
      </c>
      <c r="K14" s="11" t="s">
        <v>18</v>
      </c>
      <c r="L14" s="11" t="s">
        <v>19</v>
      </c>
    </row>
    <row r="15">
      <c r="A15" s="12" t="s">
        <v>24</v>
      </c>
      <c r="B15" s="13">
        <v>44896.0</v>
      </c>
      <c r="C15" s="14" t="s">
        <v>48</v>
      </c>
      <c r="D15" s="15">
        <v>98.0</v>
      </c>
      <c r="F15" s="16" t="s">
        <v>21</v>
      </c>
      <c r="G15" s="17">
        <f t="shared" ref="G15:G31" si="1">SUMIF($C$15:$C$56,F15,$D$15:$D$56)</f>
        <v>0</v>
      </c>
      <c r="H15" s="18" t="s">
        <v>22</v>
      </c>
      <c r="J15" s="8" t="s">
        <v>23</v>
      </c>
      <c r="K15" s="19">
        <v>0.45</v>
      </c>
      <c r="L15" s="20">
        <f t="shared" ref="L15:L19" si="2">K15*$D$57</f>
        <v>660.15</v>
      </c>
      <c r="N15" s="21"/>
    </row>
    <row r="16">
      <c r="A16" s="12" t="s">
        <v>82</v>
      </c>
      <c r="B16" s="25" t="s">
        <v>301</v>
      </c>
      <c r="C16" s="23" t="s">
        <v>41</v>
      </c>
      <c r="D16" s="24">
        <v>107.0</v>
      </c>
      <c r="F16" s="16" t="s">
        <v>25</v>
      </c>
      <c r="G16" s="17">
        <f t="shared" si="1"/>
        <v>0</v>
      </c>
      <c r="H16" s="18" t="s">
        <v>22</v>
      </c>
      <c r="J16" s="8" t="s">
        <v>26</v>
      </c>
      <c r="K16" s="19">
        <v>0.25</v>
      </c>
      <c r="L16" s="20">
        <f t="shared" si="2"/>
        <v>366.75</v>
      </c>
      <c r="N16" s="21"/>
    </row>
    <row r="17">
      <c r="A17" s="12" t="s">
        <v>179</v>
      </c>
      <c r="B17" s="25" t="s">
        <v>302</v>
      </c>
      <c r="C17" s="23" t="s">
        <v>31</v>
      </c>
      <c r="D17" s="24">
        <v>83.0</v>
      </c>
      <c r="F17" s="16" t="s">
        <v>28</v>
      </c>
      <c r="G17" s="17">
        <f t="shared" si="1"/>
        <v>24</v>
      </c>
      <c r="H17" s="18" t="s">
        <v>170</v>
      </c>
      <c r="J17" s="8" t="s">
        <v>29</v>
      </c>
      <c r="K17" s="19">
        <v>0.15</v>
      </c>
      <c r="L17" s="20">
        <f t="shared" si="2"/>
        <v>220.05</v>
      </c>
      <c r="M17" s="55">
        <f>(L17+L18)/2</f>
        <v>183.375</v>
      </c>
      <c r="N17" s="21"/>
    </row>
    <row r="18">
      <c r="A18" s="12" t="s">
        <v>123</v>
      </c>
      <c r="B18" s="25" t="s">
        <v>302</v>
      </c>
      <c r="C18" s="23" t="s">
        <v>38</v>
      </c>
      <c r="D18" s="24">
        <v>97.0</v>
      </c>
      <c r="E18" s="8"/>
      <c r="F18" s="16" t="s">
        <v>31</v>
      </c>
      <c r="G18" s="17">
        <f t="shared" si="1"/>
        <v>162</v>
      </c>
      <c r="H18" s="18" t="s">
        <v>170</v>
      </c>
      <c r="J18" s="8" t="s">
        <v>32</v>
      </c>
      <c r="K18" s="19">
        <v>0.1</v>
      </c>
      <c r="L18" s="20">
        <f t="shared" si="2"/>
        <v>146.7</v>
      </c>
      <c r="N18" s="21"/>
    </row>
    <row r="19">
      <c r="A19" s="12" t="s">
        <v>167</v>
      </c>
      <c r="B19" s="25" t="s">
        <v>302</v>
      </c>
      <c r="C19" s="23" t="s">
        <v>63</v>
      </c>
      <c r="D19" s="24">
        <v>101.0</v>
      </c>
      <c r="E19" s="8"/>
      <c r="F19" s="16" t="s">
        <v>35</v>
      </c>
      <c r="G19" s="17">
        <f t="shared" si="1"/>
        <v>0</v>
      </c>
      <c r="H19" s="18" t="s">
        <v>22</v>
      </c>
      <c r="J19" s="8" t="s">
        <v>36</v>
      </c>
      <c r="K19" s="19">
        <v>0.05</v>
      </c>
      <c r="L19" s="20">
        <f t="shared" si="2"/>
        <v>73.35</v>
      </c>
      <c r="N19" s="21"/>
    </row>
    <row r="20">
      <c r="A20" s="12" t="s">
        <v>67</v>
      </c>
      <c r="B20" s="25" t="s">
        <v>303</v>
      </c>
      <c r="C20" s="23" t="s">
        <v>41</v>
      </c>
      <c r="D20" s="24">
        <v>69.0</v>
      </c>
      <c r="F20" s="16" t="s">
        <v>38</v>
      </c>
      <c r="G20" s="17">
        <f t="shared" si="1"/>
        <v>241</v>
      </c>
      <c r="H20" s="18" t="s">
        <v>170</v>
      </c>
      <c r="J20" s="8"/>
      <c r="K20" s="8"/>
      <c r="L20" s="8"/>
      <c r="N20" s="21"/>
    </row>
    <row r="21">
      <c r="A21" s="12" t="s">
        <v>69</v>
      </c>
      <c r="B21" s="25" t="s">
        <v>303</v>
      </c>
      <c r="C21" s="23" t="s">
        <v>59</v>
      </c>
      <c r="D21" s="24">
        <v>72.0</v>
      </c>
      <c r="F21" s="16" t="s">
        <v>41</v>
      </c>
      <c r="G21" s="17">
        <f t="shared" si="1"/>
        <v>292</v>
      </c>
      <c r="H21" s="18" t="s">
        <v>170</v>
      </c>
      <c r="J21" s="8"/>
      <c r="K21" s="8"/>
      <c r="L21" s="8"/>
      <c r="N21" s="21"/>
    </row>
    <row r="22">
      <c r="A22" s="12" t="s">
        <v>27</v>
      </c>
      <c r="B22" s="25" t="s">
        <v>303</v>
      </c>
      <c r="C22" s="25" t="s">
        <v>41</v>
      </c>
      <c r="D22" s="24">
        <v>55.0</v>
      </c>
      <c r="F22" s="16" t="s">
        <v>229</v>
      </c>
      <c r="G22" s="17">
        <f t="shared" si="1"/>
        <v>11</v>
      </c>
      <c r="H22" s="18" t="s">
        <v>170</v>
      </c>
      <c r="J22" s="26" t="s">
        <v>45</v>
      </c>
      <c r="K22" s="27"/>
      <c r="L22" s="8"/>
      <c r="N22" s="21"/>
    </row>
    <row r="23">
      <c r="A23" s="12" t="s">
        <v>77</v>
      </c>
      <c r="B23" s="25" t="s">
        <v>303</v>
      </c>
      <c r="C23" s="23" t="s">
        <v>38</v>
      </c>
      <c r="D23" s="24">
        <v>45.0</v>
      </c>
      <c r="F23" s="16" t="s">
        <v>48</v>
      </c>
      <c r="G23" s="17">
        <f t="shared" si="1"/>
        <v>202</v>
      </c>
      <c r="H23" s="18" t="s">
        <v>170</v>
      </c>
      <c r="J23" s="28">
        <v>1.0</v>
      </c>
      <c r="K23" s="28" t="s">
        <v>167</v>
      </c>
      <c r="L23" s="8" t="s">
        <v>63</v>
      </c>
      <c r="N23" s="21"/>
    </row>
    <row r="24">
      <c r="A24" s="12" t="s">
        <v>54</v>
      </c>
      <c r="B24" s="25" t="s">
        <v>43</v>
      </c>
      <c r="C24" s="23" t="s">
        <v>48</v>
      </c>
      <c r="D24" s="24">
        <v>53.0</v>
      </c>
      <c r="F24" s="16" t="s">
        <v>51</v>
      </c>
      <c r="G24" s="17">
        <f t="shared" si="1"/>
        <v>0</v>
      </c>
      <c r="H24" s="18" t="s">
        <v>22</v>
      </c>
      <c r="J24" s="30">
        <v>2.0</v>
      </c>
      <c r="K24" s="52" t="s">
        <v>27</v>
      </c>
      <c r="L24" s="8" t="s">
        <v>41</v>
      </c>
      <c r="N24" s="21"/>
    </row>
    <row r="25">
      <c r="A25" s="12" t="s">
        <v>89</v>
      </c>
      <c r="B25" s="25" t="s">
        <v>43</v>
      </c>
      <c r="C25" s="23" t="s">
        <v>66</v>
      </c>
      <c r="D25" s="24">
        <v>50.0</v>
      </c>
      <c r="F25" s="16" t="s">
        <v>53</v>
      </c>
      <c r="G25" s="17">
        <f t="shared" si="1"/>
        <v>0</v>
      </c>
      <c r="H25" s="18" t="s">
        <v>22</v>
      </c>
      <c r="J25" s="28" t="s">
        <v>231</v>
      </c>
      <c r="K25" s="28" t="s">
        <v>74</v>
      </c>
      <c r="L25" s="8" t="s">
        <v>63</v>
      </c>
      <c r="N25" s="21"/>
    </row>
    <row r="26">
      <c r="A26" s="12" t="s">
        <v>33</v>
      </c>
      <c r="B26" s="25" t="s">
        <v>304</v>
      </c>
      <c r="C26" s="23" t="s">
        <v>262</v>
      </c>
      <c r="D26" s="24">
        <v>65.0</v>
      </c>
      <c r="F26" s="16" t="s">
        <v>56</v>
      </c>
      <c r="G26" s="17">
        <f t="shared" si="1"/>
        <v>75</v>
      </c>
      <c r="H26" s="18" t="s">
        <v>170</v>
      </c>
      <c r="J26" s="30" t="s">
        <v>231</v>
      </c>
      <c r="K26" s="30" t="s">
        <v>179</v>
      </c>
      <c r="L26" s="8" t="s">
        <v>31</v>
      </c>
      <c r="N26" s="21"/>
    </row>
    <row r="27">
      <c r="A27" s="12" t="s">
        <v>178</v>
      </c>
      <c r="B27" s="25" t="s">
        <v>58</v>
      </c>
      <c r="C27" s="23" t="s">
        <v>41</v>
      </c>
      <c r="D27" s="24">
        <v>35.0</v>
      </c>
      <c r="F27" s="16" t="s">
        <v>59</v>
      </c>
      <c r="G27" s="17">
        <f t="shared" si="1"/>
        <v>89</v>
      </c>
      <c r="H27" s="18" t="s">
        <v>170</v>
      </c>
      <c r="J27" s="28">
        <v>5.0</v>
      </c>
      <c r="K27" s="28" t="s">
        <v>54</v>
      </c>
      <c r="L27" s="8" t="s">
        <v>48</v>
      </c>
      <c r="N27" s="21"/>
    </row>
    <row r="28">
      <c r="A28" s="12" t="s">
        <v>96</v>
      </c>
      <c r="B28" s="25" t="s">
        <v>305</v>
      </c>
      <c r="C28" s="23" t="s">
        <v>48</v>
      </c>
      <c r="D28" s="24">
        <v>25.0</v>
      </c>
      <c r="F28" s="16" t="s">
        <v>61</v>
      </c>
      <c r="G28" s="17">
        <f t="shared" si="1"/>
        <v>36</v>
      </c>
      <c r="H28" s="18" t="s">
        <v>170</v>
      </c>
      <c r="J28" s="31"/>
      <c r="K28" s="31"/>
      <c r="N28" s="21"/>
    </row>
    <row r="29">
      <c r="A29" s="12" t="s">
        <v>74</v>
      </c>
      <c r="B29" s="25" t="s">
        <v>306</v>
      </c>
      <c r="C29" s="23" t="s">
        <v>63</v>
      </c>
      <c r="D29" s="24">
        <v>16.0</v>
      </c>
      <c r="F29" s="16" t="s">
        <v>63</v>
      </c>
      <c r="G29" s="17">
        <f t="shared" si="1"/>
        <v>163</v>
      </c>
      <c r="H29" s="18" t="s">
        <v>170</v>
      </c>
      <c r="J29" s="31"/>
      <c r="K29" s="31"/>
      <c r="N29" s="21"/>
    </row>
    <row r="30">
      <c r="A30" s="12" t="s">
        <v>171</v>
      </c>
      <c r="B30" s="25" t="s">
        <v>306</v>
      </c>
      <c r="C30" s="23" t="s">
        <v>38</v>
      </c>
      <c r="D30" s="24">
        <v>20.0</v>
      </c>
      <c r="F30" s="16" t="s">
        <v>66</v>
      </c>
      <c r="G30" s="17">
        <f t="shared" si="1"/>
        <v>107</v>
      </c>
      <c r="H30" s="18" t="s">
        <v>307</v>
      </c>
      <c r="J30" s="31"/>
      <c r="K30" s="31"/>
      <c r="N30" s="21"/>
    </row>
    <row r="31">
      <c r="A31" s="12" t="s">
        <v>57</v>
      </c>
      <c r="B31" s="25" t="s">
        <v>306</v>
      </c>
      <c r="C31" s="23" t="s">
        <v>31</v>
      </c>
      <c r="D31" s="24">
        <v>25.0</v>
      </c>
      <c r="F31" s="16" t="s">
        <v>262</v>
      </c>
      <c r="G31" s="33">
        <f t="shared" si="1"/>
        <v>65</v>
      </c>
      <c r="H31" s="18" t="s">
        <v>170</v>
      </c>
      <c r="J31" s="8"/>
      <c r="K31" s="8"/>
      <c r="M31" s="32"/>
      <c r="N31" s="21"/>
    </row>
    <row r="32">
      <c r="A32" s="12" t="s">
        <v>267</v>
      </c>
      <c r="B32" s="25" t="s">
        <v>308</v>
      </c>
      <c r="C32" s="23" t="s">
        <v>66</v>
      </c>
      <c r="D32" s="24">
        <v>20.0</v>
      </c>
      <c r="F32" s="34" t="s">
        <v>73</v>
      </c>
      <c r="G32" s="56">
        <f>SUM(G15:G31)</f>
        <v>1467</v>
      </c>
      <c r="H32" s="18"/>
      <c r="I32" s="8"/>
      <c r="J32" s="8"/>
      <c r="K32" s="8"/>
      <c r="L32" s="8"/>
      <c r="N32" s="21"/>
    </row>
    <row r="33">
      <c r="A33" s="12" t="s">
        <v>102</v>
      </c>
      <c r="B33" s="25" t="s">
        <v>308</v>
      </c>
      <c r="C33" s="23" t="s">
        <v>31</v>
      </c>
      <c r="D33" s="24">
        <v>24.0</v>
      </c>
      <c r="F33" s="16"/>
      <c r="G33" s="56"/>
      <c r="H33" s="36"/>
      <c r="I33" s="8"/>
      <c r="J33" s="8"/>
      <c r="K33" s="8"/>
      <c r="L33" s="8"/>
      <c r="N33" s="21"/>
    </row>
    <row r="34">
      <c r="A34" s="12" t="s">
        <v>233</v>
      </c>
      <c r="B34" s="25" t="s">
        <v>308</v>
      </c>
      <c r="C34" s="23" t="s">
        <v>48</v>
      </c>
      <c r="D34" s="24">
        <v>21.0</v>
      </c>
      <c r="F34" s="34"/>
      <c r="G34" s="37"/>
      <c r="H34" s="8"/>
      <c r="I34" s="8"/>
      <c r="J34" s="8"/>
      <c r="K34" s="8"/>
      <c r="L34" s="8"/>
      <c r="N34" s="21"/>
    </row>
    <row r="35">
      <c r="A35" s="12" t="s">
        <v>180</v>
      </c>
      <c r="B35" s="25" t="s">
        <v>308</v>
      </c>
      <c r="C35" s="23" t="s">
        <v>38</v>
      </c>
      <c r="D35" s="24">
        <v>30.0</v>
      </c>
      <c r="K35" s="8"/>
      <c r="L35" s="8"/>
      <c r="N35" s="21"/>
    </row>
    <row r="36">
      <c r="A36" s="8" t="s">
        <v>236</v>
      </c>
      <c r="B36" s="25" t="s">
        <v>72</v>
      </c>
      <c r="C36" s="23" t="s">
        <v>41</v>
      </c>
      <c r="D36" s="24">
        <v>26.0</v>
      </c>
      <c r="F36" s="38" t="s">
        <v>21</v>
      </c>
      <c r="G36" s="38" t="s">
        <v>25</v>
      </c>
      <c r="H36" s="38" t="s">
        <v>28</v>
      </c>
      <c r="I36" s="38" t="s">
        <v>31</v>
      </c>
      <c r="J36" s="38" t="s">
        <v>35</v>
      </c>
      <c r="K36" s="38" t="s">
        <v>38</v>
      </c>
      <c r="N36" s="21"/>
    </row>
    <row r="37">
      <c r="A37" s="12" t="s">
        <v>97</v>
      </c>
      <c r="B37" s="25" t="s">
        <v>72</v>
      </c>
      <c r="C37" s="23" t="s">
        <v>66</v>
      </c>
      <c r="D37" s="24">
        <v>18.0</v>
      </c>
      <c r="F37" s="12"/>
      <c r="G37" s="12"/>
      <c r="H37" s="12" t="str">
        <f t="shared" ref="H37:H38" si="3">INDEX($A$15:$A$56,SMALL(IF($H$36=$C$15:$C$56,row($C$15:$C$56)-row($C$15)+1),row(1:1)))</f>
        <v>Paul Casey</v>
      </c>
      <c r="I37" s="12" t="str">
        <f t="shared" ref="I37:I41" si="4">INDEX($A$15:$A$56,SMALL(IF($I$36=$C$15:$C$56,row($C$15:$C$56)-row($C$15)+1),row(1:1)))</f>
        <v>Cameron Smith</v>
      </c>
      <c r="J37" s="12"/>
      <c r="K37" s="12" t="str">
        <f t="shared" ref="K37:K44" si="5">INDEX($A$15:$A$56,SMALL(IF($K$36=$C$15:$C$56,row($C$15:$C$56)-row($C$15)+1),row(1:1)))</f>
        <v>Dustin Johnson</v>
      </c>
      <c r="L37" s="8"/>
    </row>
    <row r="38">
      <c r="A38" s="12" t="s">
        <v>30</v>
      </c>
      <c r="B38" s="25" t="s">
        <v>72</v>
      </c>
      <c r="C38" s="23" t="s">
        <v>63</v>
      </c>
      <c r="D38" s="24">
        <v>19.0</v>
      </c>
      <c r="F38" s="12"/>
      <c r="G38" s="12"/>
      <c r="H38" s="12" t="str">
        <f t="shared" si="3"/>
        <v>Marc Leishman</v>
      </c>
      <c r="I38" s="12" t="str">
        <f t="shared" si="4"/>
        <v>Hideki Matsuyama</v>
      </c>
      <c r="J38" s="12"/>
      <c r="K38" s="12" t="str">
        <f t="shared" si="5"/>
        <v>Viktor Hovland</v>
      </c>
    </row>
    <row r="39">
      <c r="A39" s="12" t="s">
        <v>76</v>
      </c>
      <c r="B39" s="25" t="s">
        <v>72</v>
      </c>
      <c r="C39" s="23" t="s">
        <v>63</v>
      </c>
      <c r="D39" s="24">
        <v>15.0</v>
      </c>
      <c r="F39" s="12"/>
      <c r="G39" s="12"/>
      <c r="H39" s="12"/>
      <c r="I39" s="12" t="str">
        <f t="shared" si="4"/>
        <v>Daniel Berger</v>
      </c>
      <c r="J39" s="12"/>
      <c r="K39" s="12" t="str">
        <f t="shared" si="5"/>
        <v>Joaquin Niemann</v>
      </c>
    </row>
    <row r="40">
      <c r="A40" s="12" t="s">
        <v>80</v>
      </c>
      <c r="B40" s="25" t="s">
        <v>75</v>
      </c>
      <c r="C40" s="23" t="s">
        <v>31</v>
      </c>
      <c r="D40" s="24">
        <v>15.0</v>
      </c>
      <c r="F40" s="12"/>
      <c r="G40" s="12"/>
      <c r="H40" s="12"/>
      <c r="I40" s="12" t="str">
        <f t="shared" si="4"/>
        <v>Adam Scott</v>
      </c>
      <c r="J40" s="12"/>
      <c r="K40" s="12" t="str">
        <f t="shared" si="5"/>
        <v>Tony Finau</v>
      </c>
    </row>
    <row r="41">
      <c r="A41" s="12" t="s">
        <v>175</v>
      </c>
      <c r="B41" s="25" t="s">
        <v>75</v>
      </c>
      <c r="C41" s="23" t="s">
        <v>38</v>
      </c>
      <c r="D41" s="24">
        <v>12.0</v>
      </c>
      <c r="F41" s="12"/>
      <c r="G41" s="12"/>
      <c r="H41" s="12"/>
      <c r="I41" s="12" t="str">
        <f t="shared" si="4"/>
        <v>Sergio Garcia</v>
      </c>
      <c r="J41" s="12"/>
      <c r="K41" s="12" t="str">
        <f t="shared" si="5"/>
        <v>Tyrrell Hatton</v>
      </c>
    </row>
    <row r="42">
      <c r="A42" s="12" t="s">
        <v>309</v>
      </c>
      <c r="B42" s="25" t="s">
        <v>81</v>
      </c>
      <c r="C42" s="23" t="s">
        <v>28</v>
      </c>
      <c r="D42" s="24">
        <v>12.0</v>
      </c>
      <c r="F42" s="12"/>
      <c r="G42" s="12"/>
      <c r="H42" s="12"/>
      <c r="I42" s="57">
        <f>M17</f>
        <v>183.375</v>
      </c>
      <c r="J42" s="12"/>
      <c r="K42" s="12" t="str">
        <f t="shared" si="5"/>
        <v>Billy Horschel</v>
      </c>
    </row>
    <row r="43">
      <c r="A43" s="12" t="s">
        <v>174</v>
      </c>
      <c r="B43" s="25" t="s">
        <v>85</v>
      </c>
      <c r="C43" s="23" t="s">
        <v>59</v>
      </c>
      <c r="D43" s="24">
        <v>17.0</v>
      </c>
      <c r="F43" s="12"/>
      <c r="G43" s="12"/>
      <c r="H43" s="12"/>
      <c r="I43" s="12"/>
      <c r="J43" s="12"/>
      <c r="K43" s="12" t="str">
        <f t="shared" si="5"/>
        <v>Bubba Watson</v>
      </c>
    </row>
    <row r="44">
      <c r="A44" s="12" t="s">
        <v>46</v>
      </c>
      <c r="B44" s="25" t="s">
        <v>85</v>
      </c>
      <c r="C44" s="23" t="s">
        <v>63</v>
      </c>
      <c r="D44" s="24">
        <v>12.0</v>
      </c>
      <c r="F44" s="12"/>
      <c r="G44" s="12"/>
      <c r="H44" s="12"/>
      <c r="I44" s="12"/>
      <c r="J44" s="12"/>
      <c r="K44" s="12" t="str">
        <f t="shared" si="5"/>
        <v>Si Woo Kim</v>
      </c>
    </row>
    <row r="45">
      <c r="A45" s="12" t="s">
        <v>60</v>
      </c>
      <c r="B45" s="25" t="s">
        <v>181</v>
      </c>
      <c r="C45" s="23" t="s">
        <v>61</v>
      </c>
      <c r="D45" s="24">
        <v>16.0</v>
      </c>
      <c r="F45" s="12"/>
      <c r="G45" s="12"/>
      <c r="H45" s="12"/>
      <c r="I45" s="12"/>
      <c r="J45" s="12"/>
      <c r="K45" s="12"/>
    </row>
    <row r="46">
      <c r="A46" s="12" t="s">
        <v>131</v>
      </c>
      <c r="B46" s="25" t="s">
        <v>181</v>
      </c>
      <c r="C46" s="23" t="s">
        <v>31</v>
      </c>
      <c r="D46" s="24">
        <v>15.0</v>
      </c>
      <c r="F46" s="38" t="s">
        <v>41</v>
      </c>
      <c r="G46" s="38" t="s">
        <v>229</v>
      </c>
      <c r="H46" s="38" t="s">
        <v>48</v>
      </c>
      <c r="I46" s="38" t="s">
        <v>51</v>
      </c>
      <c r="J46" s="38" t="s">
        <v>53</v>
      </c>
      <c r="K46" s="38" t="s">
        <v>56</v>
      </c>
    </row>
    <row r="47">
      <c r="A47" s="12" t="s">
        <v>52</v>
      </c>
      <c r="B47" s="25" t="s">
        <v>181</v>
      </c>
      <c r="C47" s="23" t="s">
        <v>61</v>
      </c>
      <c r="D47" s="24">
        <v>20.0</v>
      </c>
      <c r="F47" s="12" t="str">
        <f t="shared" ref="F47:H47" si="6">INDEX($A$15:$A$56,SMALL(IF(F$46=$C$15:$C$56,row($C$15:$C$56)-row($C$15)+1),row(1:1)))</f>
        <v>Justin Thomas</v>
      </c>
      <c r="G47" s="12" t="str">
        <f t="shared" si="6"/>
        <v>Max Homa</v>
      </c>
      <c r="H47" s="12" t="str">
        <f t="shared" si="6"/>
        <v>Jon Rahm</v>
      </c>
      <c r="I47" s="12"/>
      <c r="J47" s="12"/>
      <c r="K47" s="12" t="str">
        <f t="array" ref="K47">INDEX($A$15:$A$56,SMALL(IF(K$46=$C$15:$C$56,row($C$15:$C$56)-row($C$15)+1),row(1:1)))</f>
        <v>The Field</v>
      </c>
    </row>
    <row r="48">
      <c r="A48" s="12" t="s">
        <v>189</v>
      </c>
      <c r="B48" s="25" t="s">
        <v>181</v>
      </c>
      <c r="C48" s="23" t="s">
        <v>38</v>
      </c>
      <c r="D48" s="24">
        <v>16.0</v>
      </c>
      <c r="F48" s="12" t="str">
        <f t="shared" ref="F48:F51" si="7">INDEX($A$15:$A$56,SMALL(IF(F$46=$C$15:$C$56,row($C$15:$C$56)-row($C$15)+1),row(2:2)))</f>
        <v>Jordan Spieth</v>
      </c>
      <c r="G48" s="12"/>
      <c r="H48" s="12" t="str">
        <f t="shared" ref="H48:H51" si="8">INDEX($A$15:$A$56,SMALL(IF(H$46=$C$15:$C$56,row($C$15:$C$56)-row($C$15)+1),row(2:2)))</f>
        <v>Collin Morikawa</v>
      </c>
      <c r="I48" s="12"/>
      <c r="J48" s="12"/>
      <c r="K48" s="12"/>
    </row>
    <row r="49">
      <c r="A49" s="12" t="s">
        <v>114</v>
      </c>
      <c r="B49" s="25" t="s">
        <v>181</v>
      </c>
      <c r="C49" s="23" t="s">
        <v>229</v>
      </c>
      <c r="D49" s="24">
        <v>11.0</v>
      </c>
      <c r="F49" s="12" t="str">
        <f t="shared" si="7"/>
        <v>Rory McIlroy</v>
      </c>
      <c r="G49" s="12"/>
      <c r="H49" s="12" t="str">
        <f t="shared" si="8"/>
        <v>Sam Burns</v>
      </c>
      <c r="I49" s="12"/>
      <c r="J49" s="12"/>
      <c r="K49" s="12"/>
    </row>
    <row r="50">
      <c r="A50" s="12" t="s">
        <v>310</v>
      </c>
      <c r="B50" s="25" t="s">
        <v>92</v>
      </c>
      <c r="C50" s="23" t="s">
        <v>28</v>
      </c>
      <c r="D50" s="24">
        <v>12.0</v>
      </c>
      <c r="F50" s="12" t="str">
        <f t="shared" si="7"/>
        <v>Will Zalatoris</v>
      </c>
      <c r="G50" s="12"/>
      <c r="H50" s="12" t="str">
        <f t="shared" si="8"/>
        <v>Matthew Fitzpatrick</v>
      </c>
      <c r="I50" s="12"/>
      <c r="J50" s="12"/>
      <c r="K50" s="12"/>
      <c r="L50" s="12"/>
    </row>
    <row r="51">
      <c r="A51" s="12" t="s">
        <v>270</v>
      </c>
      <c r="B51" s="25" t="s">
        <v>311</v>
      </c>
      <c r="C51" s="23" t="s">
        <v>66</v>
      </c>
      <c r="D51" s="24">
        <v>13.0</v>
      </c>
      <c r="F51" s="12" t="str">
        <f t="shared" si="7"/>
        <v>Tiger Woods</v>
      </c>
      <c r="G51" s="12"/>
      <c r="H51" s="12" t="str">
        <f t="shared" si="8"/>
        <v>Thomas Pieters</v>
      </c>
      <c r="I51" s="12"/>
      <c r="J51" s="12"/>
      <c r="K51" s="12"/>
      <c r="L51" s="12"/>
    </row>
    <row r="52">
      <c r="A52" s="12" t="s">
        <v>144</v>
      </c>
      <c r="B52" s="25" t="s">
        <v>311</v>
      </c>
      <c r="C52" s="23" t="s">
        <v>38</v>
      </c>
      <c r="D52" s="24">
        <v>13.0</v>
      </c>
      <c r="F52" s="57">
        <f>L16</f>
        <v>366.75</v>
      </c>
      <c r="G52" s="12"/>
      <c r="H52" s="57">
        <f>L19</f>
        <v>73.35</v>
      </c>
      <c r="I52" s="12"/>
      <c r="J52" s="12"/>
      <c r="K52" s="12"/>
      <c r="L52" s="12"/>
    </row>
    <row r="53">
      <c r="A53" s="39" t="s">
        <v>71</v>
      </c>
      <c r="B53" s="40" t="s">
        <v>311</v>
      </c>
      <c r="C53" s="23" t="s">
        <v>38</v>
      </c>
      <c r="D53" s="23">
        <v>8.0</v>
      </c>
      <c r="H53" s="12"/>
      <c r="J53" s="58"/>
      <c r="K53" s="58"/>
      <c r="L53" s="12"/>
    </row>
    <row r="54">
      <c r="A54" s="39" t="s">
        <v>100</v>
      </c>
      <c r="B54" s="40" t="s">
        <v>311</v>
      </c>
      <c r="C54" s="23" t="s">
        <v>66</v>
      </c>
      <c r="D54" s="23">
        <v>6.0</v>
      </c>
      <c r="F54" s="38" t="s">
        <v>59</v>
      </c>
      <c r="G54" s="38" t="s">
        <v>61</v>
      </c>
      <c r="H54" s="38" t="s">
        <v>63</v>
      </c>
      <c r="I54" s="38" t="s">
        <v>66</v>
      </c>
      <c r="J54" s="38" t="s">
        <v>262</v>
      </c>
      <c r="K54" s="12"/>
      <c r="L54" s="8"/>
    </row>
    <row r="55">
      <c r="A55" s="12" t="s">
        <v>273</v>
      </c>
      <c r="B55" s="40" t="s">
        <v>235</v>
      </c>
      <c r="C55" s="23" t="s">
        <v>48</v>
      </c>
      <c r="D55" s="23">
        <v>5.0</v>
      </c>
      <c r="F55" s="12" t="str">
        <f t="shared" ref="F55:J55" si="9">INDEX($A$15:$A$56,SMALL(IF(F$54=$C$15:$C$56,row($C$15:$C$56)-row($C$15)+1),row(1:1)))</f>
        <v>Brooks Koepka</v>
      </c>
      <c r="G55" s="12" t="str">
        <f t="shared" si="9"/>
        <v>Patrick Reed</v>
      </c>
      <c r="H55" s="12" t="str">
        <f t="shared" si="9"/>
        <v>Scottie Scheffler</v>
      </c>
      <c r="I55" s="12" t="str">
        <f t="shared" si="9"/>
        <v>Patrick Cantlay</v>
      </c>
      <c r="J55" s="12" t="str">
        <f t="shared" si="9"/>
        <v>Xander Schauffele</v>
      </c>
      <c r="L55" s="8"/>
    </row>
    <row r="56">
      <c r="A56" s="43" t="s">
        <v>103</v>
      </c>
      <c r="B56" s="44" t="s">
        <v>187</v>
      </c>
      <c r="C56" s="45" t="s">
        <v>56</v>
      </c>
      <c r="D56" s="45">
        <v>75.0</v>
      </c>
      <c r="E56" s="41"/>
      <c r="F56" s="12" t="str">
        <f t="shared" ref="F56:I56" si="10">INDEX($A$15:$A$56,SMALL(IF(F$54=$C$15:$C$56,row($C$15:$C$56)-row($C$15)+1),row(2:2)))</f>
        <v>Sungjae Im</v>
      </c>
      <c r="G56" s="12" t="str">
        <f t="shared" si="10"/>
        <v>Justin Rose</v>
      </c>
      <c r="H56" s="12" t="str">
        <f t="shared" si="10"/>
        <v>Shane Lowry</v>
      </c>
      <c r="I56" s="12" t="str">
        <f t="shared" si="10"/>
        <v>Louis Oosthuizen</v>
      </c>
      <c r="J56" s="12"/>
      <c r="L56" s="42"/>
      <c r="M56" s="41"/>
      <c r="N56" s="41"/>
      <c r="O56" s="41"/>
      <c r="P56" s="41"/>
      <c r="Q56" s="41"/>
      <c r="R56" s="41"/>
      <c r="S56" s="41"/>
      <c r="T56" s="41"/>
      <c r="U56" s="41"/>
      <c r="V56" s="41"/>
      <c r="W56" s="41"/>
      <c r="X56" s="41"/>
      <c r="Y56" s="41"/>
      <c r="Z56" s="41"/>
    </row>
    <row r="57">
      <c r="A57" s="12"/>
      <c r="B57" s="46"/>
      <c r="C57" s="34" t="s">
        <v>104</v>
      </c>
      <c r="D57" s="37">
        <f>sum(D15:D56)</f>
        <v>1467</v>
      </c>
      <c r="F57" s="12"/>
      <c r="G57" s="12"/>
      <c r="H57" s="12" t="str">
        <f t="shared" ref="H57:I57" si="11">INDEX($A$15:$A$56,SMALL(IF(H$54=$C$15:$C$56,row($C$15:$C$56)-row($C$15)+1),row(3:3)))</f>
        <v>Bryson DeChambeau</v>
      </c>
      <c r="I57" s="12" t="str">
        <f t="shared" si="11"/>
        <v>Corey Conners</v>
      </c>
      <c r="J57" s="12"/>
      <c r="K57" s="12"/>
      <c r="L57" s="8"/>
    </row>
    <row r="58">
      <c r="A58" s="47" t="s">
        <v>105</v>
      </c>
      <c r="B58" s="47"/>
      <c r="C58" s="18" t="s">
        <v>106</v>
      </c>
      <c r="D58" s="36" t="str">
        <f>if(G34-D57=0,"No","Yes")</f>
        <v>Yes</v>
      </c>
      <c r="F58" s="12"/>
      <c r="G58" s="12"/>
      <c r="H58" s="12" t="str">
        <f t="shared" ref="H58:I58" si="12">INDEX($A$15:$A$56,SMALL(IF(H$54=$C$15:$C$56,row($C$15:$C$56)-row($C$15)+1),row(4:4)))</f>
        <v>Russell Henley</v>
      </c>
      <c r="I58" s="12" t="str">
        <f t="shared" si="12"/>
        <v>Abraham Ancer</v>
      </c>
      <c r="J58" s="12"/>
      <c r="K58" s="42"/>
      <c r="L58" s="8"/>
    </row>
    <row r="59">
      <c r="A59" s="12" t="s">
        <v>49</v>
      </c>
      <c r="B59" s="46" t="s">
        <v>95</v>
      </c>
      <c r="F59" s="12"/>
      <c r="G59" s="12"/>
      <c r="H59" s="12" t="str">
        <f t="shared" ref="H59:I59" si="13">INDEX($A$15:$A$56,SMALL(IF(H$54=$C$15:$C$56,row($C$15:$C$56)-row($C$15)+1),row(5:5)))</f>
        <v>Tommy Fleetwood</v>
      </c>
      <c r="I59" s="12" t="str">
        <f t="shared" si="13"/>
        <v>Gary Woodland</v>
      </c>
      <c r="J59" s="12"/>
      <c r="K59" s="8"/>
      <c r="L59" s="8"/>
    </row>
    <row r="60">
      <c r="A60" s="12" t="s">
        <v>207</v>
      </c>
      <c r="B60" s="46" t="s">
        <v>185</v>
      </c>
      <c r="H60" s="55">
        <f>L15+M17</f>
        <v>843.525</v>
      </c>
      <c r="L60" s="8"/>
    </row>
    <row r="61">
      <c r="A61" s="12" t="s">
        <v>246</v>
      </c>
      <c r="B61" s="46" t="s">
        <v>185</v>
      </c>
      <c r="C61" s="12"/>
      <c r="L61" s="8"/>
    </row>
    <row r="62">
      <c r="A62" s="12" t="s">
        <v>312</v>
      </c>
      <c r="B62" s="46" t="s">
        <v>313</v>
      </c>
      <c r="C62" s="12"/>
      <c r="F62" s="12"/>
      <c r="G62" s="12"/>
      <c r="H62" s="12">
        <f>H60/D57</f>
        <v>0.575</v>
      </c>
      <c r="I62" s="12"/>
      <c r="J62" s="12"/>
      <c r="K62" s="8"/>
      <c r="L62" s="8"/>
    </row>
    <row r="63">
      <c r="A63" s="12" t="s">
        <v>271</v>
      </c>
      <c r="B63" s="46" t="s">
        <v>313</v>
      </c>
      <c r="F63" s="57">
        <f>H60+H52+F52</f>
        <v>1283.625</v>
      </c>
      <c r="G63" s="12"/>
      <c r="H63" s="12"/>
      <c r="I63" s="12"/>
      <c r="J63" s="12"/>
      <c r="K63" s="8"/>
      <c r="L63" s="8"/>
    </row>
    <row r="64">
      <c r="A64" s="12" t="s">
        <v>274</v>
      </c>
      <c r="B64" s="46" t="s">
        <v>313</v>
      </c>
      <c r="G64" s="8"/>
      <c r="H64" s="8"/>
      <c r="I64" s="8"/>
      <c r="J64" s="8"/>
      <c r="K64" s="8"/>
      <c r="L64" s="8"/>
    </row>
    <row r="65">
      <c r="A65" s="12" t="s">
        <v>39</v>
      </c>
      <c r="B65" s="46" t="s">
        <v>272</v>
      </c>
      <c r="G65" s="8"/>
      <c r="H65" s="8"/>
      <c r="I65" s="8"/>
      <c r="J65" s="8"/>
      <c r="K65" s="8"/>
      <c r="L65" s="8"/>
    </row>
    <row r="66">
      <c r="A66" s="12" t="s">
        <v>109</v>
      </c>
      <c r="B66" s="46" t="s">
        <v>111</v>
      </c>
      <c r="C66" s="12"/>
      <c r="G66" s="8"/>
      <c r="H66" s="8"/>
      <c r="I66" s="8"/>
      <c r="J66" s="8"/>
      <c r="K66" s="8"/>
      <c r="L66" s="8"/>
    </row>
    <row r="67">
      <c r="A67" s="12" t="s">
        <v>279</v>
      </c>
      <c r="B67" s="46" t="s">
        <v>111</v>
      </c>
      <c r="C67" s="12"/>
      <c r="H67" s="8"/>
      <c r="I67" s="8"/>
      <c r="J67" s="8"/>
      <c r="K67" s="8"/>
      <c r="L67" s="8"/>
    </row>
    <row r="68">
      <c r="A68" s="12" t="s">
        <v>275</v>
      </c>
      <c r="B68" s="46" t="s">
        <v>111</v>
      </c>
      <c r="C68" s="12"/>
      <c r="G68" s="8"/>
      <c r="H68" s="8"/>
      <c r="I68" s="8"/>
      <c r="J68" s="8"/>
      <c r="K68" s="8"/>
      <c r="L68" s="8"/>
    </row>
    <row r="69">
      <c r="A69" s="12" t="s">
        <v>314</v>
      </c>
      <c r="B69" s="46" t="s">
        <v>315</v>
      </c>
      <c r="C69" s="12"/>
      <c r="F69" s="8"/>
      <c r="G69" s="8"/>
      <c r="H69" s="8"/>
      <c r="I69" s="8"/>
      <c r="J69" s="8"/>
      <c r="K69" s="8"/>
      <c r="L69" s="8"/>
    </row>
    <row r="70">
      <c r="A70" s="12" t="s">
        <v>283</v>
      </c>
      <c r="B70" s="46" t="s">
        <v>194</v>
      </c>
      <c r="C70" s="12"/>
      <c r="F70" s="8"/>
      <c r="G70" s="8"/>
      <c r="H70" s="8"/>
      <c r="I70" s="8"/>
      <c r="J70" s="8"/>
      <c r="K70" s="8"/>
      <c r="L70" s="8"/>
    </row>
    <row r="71">
      <c r="A71" s="12" t="s">
        <v>316</v>
      </c>
      <c r="B71" s="46" t="s">
        <v>317</v>
      </c>
      <c r="C71" s="12"/>
      <c r="F71" s="8"/>
      <c r="G71" s="8"/>
      <c r="H71" s="8"/>
      <c r="I71" s="8"/>
      <c r="J71" s="8"/>
      <c r="K71" s="8"/>
      <c r="L71" s="8"/>
    </row>
    <row r="72">
      <c r="A72" s="12" t="s">
        <v>202</v>
      </c>
      <c r="B72" s="46" t="s">
        <v>317</v>
      </c>
      <c r="C72" s="12"/>
      <c r="F72" s="8"/>
      <c r="G72" s="8"/>
      <c r="H72" s="8"/>
      <c r="I72" s="8"/>
      <c r="J72" s="8"/>
      <c r="K72" s="8"/>
      <c r="L72" s="8"/>
    </row>
    <row r="73">
      <c r="A73" s="12" t="s">
        <v>318</v>
      </c>
      <c r="B73" s="46" t="s">
        <v>319</v>
      </c>
      <c r="C73" s="12"/>
      <c r="F73" s="8"/>
      <c r="G73" s="8"/>
      <c r="H73" s="8"/>
      <c r="I73" s="8"/>
      <c r="J73" s="8"/>
      <c r="K73" s="8"/>
      <c r="L73" s="8"/>
    </row>
    <row r="74">
      <c r="A74" s="12" t="s">
        <v>320</v>
      </c>
      <c r="B74" s="46" t="s">
        <v>319</v>
      </c>
      <c r="C74" s="12"/>
      <c r="F74" s="8"/>
      <c r="G74" s="8"/>
      <c r="H74" s="8"/>
      <c r="I74" s="8"/>
      <c r="J74" s="8"/>
      <c r="K74" s="8"/>
      <c r="L74" s="8"/>
    </row>
    <row r="75">
      <c r="A75" s="12" t="s">
        <v>277</v>
      </c>
      <c r="B75" s="46" t="s">
        <v>321</v>
      </c>
      <c r="C75" s="12"/>
      <c r="F75" s="8"/>
      <c r="G75" s="8"/>
      <c r="H75" s="8"/>
      <c r="I75" s="8"/>
      <c r="J75" s="8"/>
      <c r="K75" s="8"/>
      <c r="L75" s="8"/>
    </row>
    <row r="76">
      <c r="A76" s="12" t="s">
        <v>205</v>
      </c>
      <c r="B76" s="46" t="s">
        <v>321</v>
      </c>
      <c r="C76" s="12"/>
      <c r="F76" s="8"/>
      <c r="G76" s="8"/>
      <c r="H76" s="8"/>
      <c r="I76" s="8"/>
      <c r="J76" s="8"/>
      <c r="K76" s="8"/>
      <c r="L76" s="8"/>
    </row>
    <row r="77">
      <c r="A77" s="12" t="s">
        <v>322</v>
      </c>
      <c r="B77" s="46" t="s">
        <v>321</v>
      </c>
      <c r="C77" s="12"/>
      <c r="F77" s="8"/>
      <c r="G77" s="8"/>
      <c r="H77" s="8"/>
      <c r="I77" s="8"/>
      <c r="J77" s="8"/>
      <c r="K77" s="8"/>
      <c r="L77" s="8"/>
    </row>
    <row r="78">
      <c r="A78" s="12" t="s">
        <v>84</v>
      </c>
      <c r="B78" s="46" t="s">
        <v>321</v>
      </c>
      <c r="C78" s="12"/>
      <c r="F78" s="8"/>
      <c r="G78" s="8"/>
      <c r="H78" s="8"/>
      <c r="I78" s="8"/>
      <c r="J78" s="8"/>
      <c r="K78" s="8"/>
      <c r="L78" s="8"/>
    </row>
    <row r="79">
      <c r="A79" s="12" t="s">
        <v>88</v>
      </c>
      <c r="B79" s="46" t="s">
        <v>323</v>
      </c>
      <c r="C79" s="12"/>
      <c r="F79" s="8"/>
      <c r="G79" s="8"/>
      <c r="H79" s="8"/>
      <c r="I79" s="8"/>
      <c r="J79" s="8"/>
      <c r="K79" s="8"/>
      <c r="L79" s="8"/>
    </row>
    <row r="80">
      <c r="A80" s="12" t="s">
        <v>324</v>
      </c>
      <c r="B80" s="46" t="s">
        <v>203</v>
      </c>
      <c r="C80" s="12"/>
      <c r="F80" s="8"/>
      <c r="G80" s="8"/>
      <c r="H80" s="8"/>
      <c r="I80" s="8"/>
      <c r="J80" s="8"/>
      <c r="K80" s="8"/>
      <c r="L80" s="8"/>
    </row>
    <row r="81">
      <c r="A81" s="12" t="s">
        <v>252</v>
      </c>
      <c r="B81" s="46" t="s">
        <v>325</v>
      </c>
      <c r="C81" s="12"/>
      <c r="F81" s="8"/>
      <c r="G81" s="8"/>
      <c r="H81" s="8"/>
      <c r="I81" s="8"/>
      <c r="J81" s="8"/>
      <c r="K81" s="8"/>
      <c r="L81" s="8"/>
    </row>
    <row r="82">
      <c r="A82" s="12" t="s">
        <v>280</v>
      </c>
      <c r="B82" s="46" t="s">
        <v>136</v>
      </c>
      <c r="C82" s="12"/>
      <c r="F82" s="8"/>
      <c r="G82" s="8"/>
      <c r="H82" s="8"/>
      <c r="I82" s="8"/>
      <c r="J82" s="8"/>
      <c r="K82" s="8"/>
      <c r="L82" s="8"/>
    </row>
    <row r="83">
      <c r="A83" s="12" t="s">
        <v>326</v>
      </c>
      <c r="B83" s="46" t="s">
        <v>127</v>
      </c>
      <c r="C83" s="12"/>
      <c r="F83" s="8"/>
      <c r="G83" s="8"/>
      <c r="H83" s="8"/>
      <c r="I83" s="8"/>
      <c r="J83" s="8"/>
      <c r="K83" s="8"/>
      <c r="L83" s="8"/>
    </row>
    <row r="84">
      <c r="A84" s="12" t="s">
        <v>62</v>
      </c>
      <c r="B84" s="46" t="s">
        <v>127</v>
      </c>
      <c r="C84" s="12"/>
      <c r="F84" s="8"/>
      <c r="G84" s="8"/>
      <c r="H84" s="8"/>
      <c r="I84" s="8"/>
      <c r="J84" s="8"/>
      <c r="K84" s="8"/>
      <c r="L84" s="8"/>
    </row>
    <row r="85">
      <c r="A85" s="12" t="s">
        <v>327</v>
      </c>
      <c r="B85" s="46" t="s">
        <v>328</v>
      </c>
      <c r="C85" s="12"/>
      <c r="F85" s="8"/>
      <c r="G85" s="8"/>
      <c r="H85" s="8"/>
      <c r="I85" s="8"/>
      <c r="J85" s="8"/>
      <c r="K85" s="8"/>
      <c r="L85" s="8"/>
    </row>
    <row r="86">
      <c r="A86" s="12" t="s">
        <v>329</v>
      </c>
      <c r="B86" s="46" t="s">
        <v>328</v>
      </c>
      <c r="C86" s="12"/>
      <c r="F86" s="8"/>
      <c r="G86" s="8"/>
      <c r="H86" s="8"/>
      <c r="I86" s="8"/>
      <c r="J86" s="8"/>
      <c r="K86" s="8"/>
      <c r="L86" s="8"/>
    </row>
    <row r="87">
      <c r="A87" s="12" t="s">
        <v>330</v>
      </c>
      <c r="B87" s="46" t="s">
        <v>331</v>
      </c>
      <c r="C87" s="12"/>
      <c r="F87" s="8"/>
      <c r="G87" s="8"/>
      <c r="H87" s="8"/>
      <c r="I87" s="8"/>
      <c r="J87" s="8"/>
      <c r="K87" s="8"/>
      <c r="L87" s="8"/>
    </row>
    <row r="88">
      <c r="A88" s="12" t="s">
        <v>332</v>
      </c>
      <c r="B88" s="46" t="s">
        <v>333</v>
      </c>
      <c r="C88" s="12"/>
      <c r="F88" s="8"/>
      <c r="G88" s="8"/>
      <c r="H88" s="8"/>
      <c r="I88" s="8"/>
      <c r="J88" s="8"/>
      <c r="K88" s="8"/>
      <c r="L88" s="8"/>
    </row>
    <row r="89">
      <c r="A89" s="12" t="s">
        <v>334</v>
      </c>
      <c r="B89" s="46" t="s">
        <v>142</v>
      </c>
      <c r="C89" s="12"/>
      <c r="F89" s="8"/>
      <c r="G89" s="8"/>
      <c r="H89" s="8"/>
      <c r="I89" s="8"/>
      <c r="J89" s="8"/>
      <c r="K89" s="8"/>
      <c r="L89" s="8"/>
    </row>
    <row r="90">
      <c r="A90" s="12" t="s">
        <v>147</v>
      </c>
      <c r="B90" s="46" t="s">
        <v>335</v>
      </c>
      <c r="C90" s="12"/>
      <c r="F90" s="8"/>
      <c r="G90" s="8"/>
      <c r="H90" s="8"/>
      <c r="I90" s="8"/>
      <c r="J90" s="8"/>
      <c r="K90" s="8"/>
      <c r="L90" s="8"/>
    </row>
    <row r="91">
      <c r="A91" s="12" t="s">
        <v>336</v>
      </c>
      <c r="B91" s="46" t="s">
        <v>335</v>
      </c>
      <c r="C91" s="12"/>
      <c r="F91" s="8"/>
      <c r="G91" s="8"/>
      <c r="H91" s="8"/>
      <c r="I91" s="8"/>
      <c r="J91" s="8"/>
      <c r="K91" s="8"/>
      <c r="L91" s="8"/>
    </row>
    <row r="92">
      <c r="A92" s="12" t="s">
        <v>148</v>
      </c>
      <c r="B92" s="46" t="s">
        <v>335</v>
      </c>
      <c r="C92" s="12"/>
      <c r="F92" s="8"/>
      <c r="G92" s="8"/>
      <c r="H92" s="8"/>
      <c r="I92" s="8"/>
      <c r="J92" s="8"/>
      <c r="K92" s="8"/>
      <c r="L92" s="8"/>
    </row>
    <row r="93">
      <c r="A93" s="12" t="s">
        <v>193</v>
      </c>
      <c r="B93" s="46" t="s">
        <v>335</v>
      </c>
      <c r="C93" s="12"/>
      <c r="F93" s="8"/>
      <c r="G93" s="8"/>
      <c r="H93" s="8"/>
      <c r="I93" s="8"/>
      <c r="J93" s="8"/>
      <c r="K93" s="8"/>
      <c r="L93" s="8"/>
    </row>
    <row r="94">
      <c r="A94" s="12" t="s">
        <v>337</v>
      </c>
      <c r="B94" s="46" t="s">
        <v>335</v>
      </c>
      <c r="C94" s="12"/>
      <c r="F94" s="8"/>
      <c r="G94" s="8"/>
      <c r="H94" s="8"/>
      <c r="I94" s="8"/>
      <c r="J94" s="8"/>
      <c r="K94" s="8"/>
      <c r="L94" s="8"/>
    </row>
    <row r="95">
      <c r="A95" s="12" t="s">
        <v>338</v>
      </c>
      <c r="B95" s="46" t="s">
        <v>335</v>
      </c>
      <c r="C95" s="12"/>
      <c r="F95" s="8"/>
      <c r="G95" s="8"/>
      <c r="H95" s="8"/>
      <c r="I95" s="8"/>
      <c r="J95" s="8"/>
      <c r="K95" s="8"/>
      <c r="L95" s="8"/>
    </row>
    <row r="96">
      <c r="A96" s="12" t="s">
        <v>159</v>
      </c>
      <c r="B96" s="50" t="s">
        <v>151</v>
      </c>
      <c r="C96" s="12"/>
      <c r="F96" s="8"/>
      <c r="G96" s="8"/>
      <c r="H96" s="8"/>
      <c r="I96" s="8"/>
      <c r="J96" s="8"/>
      <c r="K96" s="8"/>
      <c r="L96" s="8"/>
    </row>
    <row r="97">
      <c r="A97" s="12" t="s">
        <v>295</v>
      </c>
      <c r="B97" s="50" t="s">
        <v>151</v>
      </c>
      <c r="C97" s="12"/>
      <c r="F97" s="8"/>
      <c r="G97" s="8"/>
      <c r="H97" s="8"/>
      <c r="I97" s="8"/>
      <c r="J97" s="8"/>
      <c r="K97" s="8"/>
      <c r="L97" s="8"/>
    </row>
    <row r="98">
      <c r="A98" s="12" t="s">
        <v>296</v>
      </c>
      <c r="B98" s="50" t="s">
        <v>151</v>
      </c>
      <c r="C98" s="12"/>
      <c r="F98" s="8"/>
      <c r="G98" s="8"/>
      <c r="H98" s="8"/>
      <c r="I98" s="8"/>
      <c r="J98" s="8"/>
      <c r="K98" s="8"/>
      <c r="L98" s="8"/>
    </row>
    <row r="99">
      <c r="A99" s="12" t="s">
        <v>162</v>
      </c>
      <c r="B99" s="50" t="s">
        <v>151</v>
      </c>
      <c r="C99" s="12"/>
      <c r="F99" s="8"/>
      <c r="G99" s="8"/>
      <c r="H99" s="8"/>
      <c r="I99" s="8"/>
      <c r="J99" s="8"/>
      <c r="K99" s="8"/>
      <c r="L99" s="8"/>
    </row>
    <row r="100">
      <c r="A100" s="12" t="s">
        <v>154</v>
      </c>
      <c r="B100" s="50" t="s">
        <v>151</v>
      </c>
      <c r="C100" s="12"/>
      <c r="F100" s="8"/>
      <c r="G100" s="8"/>
      <c r="H100" s="8"/>
      <c r="I100" s="8"/>
      <c r="J100" s="8"/>
      <c r="K100" s="8"/>
      <c r="L100" s="8"/>
    </row>
    <row r="101">
      <c r="A101" s="12" t="s">
        <v>155</v>
      </c>
      <c r="B101" s="50" t="s">
        <v>151</v>
      </c>
      <c r="C101" s="12"/>
      <c r="F101" s="8"/>
      <c r="G101" s="8"/>
      <c r="H101" s="8"/>
      <c r="I101" s="8"/>
      <c r="J101" s="8"/>
      <c r="K101" s="8"/>
      <c r="L101" s="8"/>
    </row>
    <row r="102">
      <c r="A102" s="12" t="s">
        <v>287</v>
      </c>
      <c r="B102" s="50" t="s">
        <v>151</v>
      </c>
      <c r="C102" s="12"/>
      <c r="F102" s="8"/>
      <c r="G102" s="8"/>
      <c r="H102" s="8"/>
      <c r="I102" s="8"/>
      <c r="J102" s="8"/>
      <c r="K102" s="8"/>
      <c r="L102" s="8"/>
    </row>
    <row r="103">
      <c r="A103" s="53"/>
      <c r="B103" s="46"/>
      <c r="C103" s="12"/>
      <c r="F103" s="8"/>
      <c r="G103" s="8"/>
      <c r="H103" s="8"/>
      <c r="I103" s="8"/>
      <c r="J103" s="8"/>
      <c r="K103" s="8"/>
      <c r="L103" s="8"/>
    </row>
    <row r="104">
      <c r="A104" s="53" t="s">
        <v>297</v>
      </c>
      <c r="B104" s="46"/>
      <c r="C104" s="12"/>
      <c r="F104" s="8"/>
      <c r="G104" s="8"/>
      <c r="H104" s="8"/>
      <c r="I104" s="8"/>
      <c r="J104" s="8"/>
      <c r="K104" s="8"/>
      <c r="L104" s="8"/>
    </row>
    <row r="105">
      <c r="A105" s="54" t="s">
        <v>339</v>
      </c>
      <c r="B105" s="46"/>
      <c r="C105" s="12"/>
      <c r="F105" s="8"/>
      <c r="G105" s="8"/>
      <c r="H105" s="8"/>
      <c r="I105" s="8"/>
      <c r="J105" s="8"/>
      <c r="K105" s="8"/>
      <c r="L105" s="8"/>
    </row>
    <row r="106">
      <c r="A106" s="12"/>
      <c r="B106" s="46"/>
      <c r="C106" s="12"/>
      <c r="L106" s="8"/>
    </row>
    <row r="107">
      <c r="A107" s="12"/>
      <c r="B107" s="46"/>
      <c r="C107" s="12"/>
      <c r="L107" s="8"/>
    </row>
    <row r="108">
      <c r="A108" s="12"/>
      <c r="B108" s="46"/>
      <c r="C108" s="12"/>
      <c r="L108" s="8"/>
    </row>
  </sheetData>
  <mergeCells count="5">
    <mergeCell ref="A1:L1"/>
    <mergeCell ref="A2:L2"/>
    <mergeCell ref="A3:L3"/>
    <mergeCell ref="A4:L4"/>
    <mergeCell ref="J22:K22"/>
  </mergeCells>
  <conditionalFormatting sqref="G15:G31 H15:H33">
    <cfRule type="cellIs" dxfId="0" priority="1" operator="equal">
      <formula>"No"</formula>
    </cfRule>
  </conditionalFormatting>
  <conditionalFormatting sqref="G15:G31 H15:H33">
    <cfRule type="cellIs" dxfId="1" priority="2" operator="equal">
      <formula>"Yes"</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4" width="11.88"/>
    <col customWidth="1" min="5" max="5" width="8.88"/>
    <col customWidth="1" min="6" max="11" width="18.25"/>
  </cols>
  <sheetData>
    <row r="1">
      <c r="A1" s="1" t="s">
        <v>340</v>
      </c>
    </row>
    <row r="2">
      <c r="A2" s="2" t="s">
        <v>1</v>
      </c>
    </row>
    <row r="3">
      <c r="A3" s="3" t="s">
        <v>341</v>
      </c>
    </row>
    <row r="4">
      <c r="A4" s="3" t="s">
        <v>3</v>
      </c>
    </row>
    <row r="5">
      <c r="A5" s="4"/>
      <c r="B5" s="4"/>
      <c r="C5" s="4"/>
      <c r="D5" s="4"/>
      <c r="E5" s="4"/>
      <c r="F5" s="4"/>
      <c r="G5" s="4"/>
      <c r="H5" s="4"/>
      <c r="I5" s="4"/>
      <c r="J5" s="5"/>
      <c r="K5" s="5"/>
      <c r="L5" s="5"/>
    </row>
    <row r="6">
      <c r="A6" s="6" t="s">
        <v>4</v>
      </c>
    </row>
    <row r="7">
      <c r="A7" s="7" t="s">
        <v>166</v>
      </c>
      <c r="B7" s="7"/>
      <c r="C7" s="7"/>
      <c r="D7" s="7"/>
      <c r="E7" s="7"/>
      <c r="F7" s="7"/>
      <c r="G7" s="7"/>
      <c r="H7" s="7"/>
      <c r="I7" s="7"/>
      <c r="J7" s="7"/>
      <c r="K7" s="7"/>
      <c r="L7" s="7"/>
    </row>
    <row r="8">
      <c r="A8" s="8" t="s">
        <v>6</v>
      </c>
    </row>
    <row r="9">
      <c r="A9" s="8" t="s">
        <v>7</v>
      </c>
    </row>
    <row r="10">
      <c r="A10" s="8" t="s">
        <v>8</v>
      </c>
    </row>
    <row r="11">
      <c r="A11" s="8" t="s">
        <v>9</v>
      </c>
    </row>
    <row r="14">
      <c r="A14" s="9" t="s">
        <v>10</v>
      </c>
      <c r="B14" s="10" t="s">
        <v>11</v>
      </c>
      <c r="C14" s="10" t="s">
        <v>12</v>
      </c>
      <c r="D14" s="10" t="s">
        <v>13</v>
      </c>
      <c r="F14" s="11" t="s">
        <v>14</v>
      </c>
      <c r="G14" s="11" t="s">
        <v>15</v>
      </c>
      <c r="H14" s="11" t="s">
        <v>16</v>
      </c>
      <c r="J14" s="11" t="s">
        <v>17</v>
      </c>
      <c r="K14" s="11" t="s">
        <v>18</v>
      </c>
      <c r="L14" s="11" t="s">
        <v>19</v>
      </c>
    </row>
    <row r="15">
      <c r="A15" s="12" t="s">
        <v>123</v>
      </c>
      <c r="B15" s="13">
        <v>44470.0</v>
      </c>
      <c r="C15" s="14" t="s">
        <v>28</v>
      </c>
      <c r="D15" s="15">
        <v>155.0</v>
      </c>
      <c r="F15" s="16" t="s">
        <v>21</v>
      </c>
      <c r="G15" s="56">
        <v>0.0</v>
      </c>
      <c r="H15" s="18" t="s">
        <v>22</v>
      </c>
      <c r="J15" s="8" t="s">
        <v>23</v>
      </c>
      <c r="K15" s="19">
        <v>0.45</v>
      </c>
      <c r="L15" s="20">
        <f t="shared" ref="L15:L19" si="1">K15*$D$59</f>
        <v>860.4</v>
      </c>
      <c r="N15" s="21"/>
    </row>
    <row r="16">
      <c r="A16" s="12" t="s">
        <v>342</v>
      </c>
      <c r="B16" s="22">
        <v>44470.0</v>
      </c>
      <c r="C16" s="23" t="s">
        <v>48</v>
      </c>
      <c r="D16" s="24">
        <v>138.0</v>
      </c>
      <c r="F16" s="16" t="s">
        <v>25</v>
      </c>
      <c r="G16" s="56">
        <v>35.0</v>
      </c>
      <c r="H16" s="18" t="s">
        <v>170</v>
      </c>
      <c r="I16" s="8"/>
      <c r="J16" s="8" t="s">
        <v>26</v>
      </c>
      <c r="K16" s="19">
        <v>0.25</v>
      </c>
      <c r="L16" s="20">
        <f t="shared" si="1"/>
        <v>478</v>
      </c>
      <c r="N16" s="21"/>
    </row>
    <row r="17">
      <c r="A17" s="12" t="s">
        <v>67</v>
      </c>
      <c r="B17" s="22">
        <v>44501.0</v>
      </c>
      <c r="C17" s="23" t="s">
        <v>41</v>
      </c>
      <c r="D17" s="24">
        <v>145.0</v>
      </c>
      <c r="F17" s="16" t="s">
        <v>28</v>
      </c>
      <c r="G17" s="56">
        <f>D15+D31+D36+D58</f>
        <v>311</v>
      </c>
      <c r="H17" s="18" t="s">
        <v>170</v>
      </c>
      <c r="I17" s="8"/>
      <c r="J17" s="8" t="s">
        <v>29</v>
      </c>
      <c r="K17" s="19">
        <v>0.15</v>
      </c>
      <c r="L17" s="20">
        <f t="shared" si="1"/>
        <v>286.8</v>
      </c>
      <c r="N17" s="21"/>
    </row>
    <row r="18">
      <c r="A18" s="12" t="s">
        <v>82</v>
      </c>
      <c r="B18" s="22">
        <v>44501.0</v>
      </c>
      <c r="C18" s="23" t="s">
        <v>48</v>
      </c>
      <c r="D18" s="24">
        <v>140.0</v>
      </c>
      <c r="E18" s="8"/>
      <c r="F18" s="16" t="s">
        <v>31</v>
      </c>
      <c r="G18" s="56">
        <f>D43+D49</f>
        <v>26</v>
      </c>
      <c r="H18" s="18" t="s">
        <v>170</v>
      </c>
      <c r="J18" s="8" t="s">
        <v>32</v>
      </c>
      <c r="K18" s="19">
        <v>0.1</v>
      </c>
      <c r="L18" s="20">
        <f t="shared" si="1"/>
        <v>191.2</v>
      </c>
      <c r="N18" s="21"/>
    </row>
    <row r="19">
      <c r="A19" s="12" t="s">
        <v>24</v>
      </c>
      <c r="B19" s="25" t="s">
        <v>301</v>
      </c>
      <c r="C19" s="23" t="s">
        <v>38</v>
      </c>
      <c r="D19" s="24">
        <v>105.0</v>
      </c>
      <c r="E19" s="8"/>
      <c r="F19" s="16" t="s">
        <v>35</v>
      </c>
      <c r="G19" s="56">
        <v>0.0</v>
      </c>
      <c r="H19" s="18" t="s">
        <v>22</v>
      </c>
      <c r="I19" s="8"/>
      <c r="J19" s="8" t="s">
        <v>36</v>
      </c>
      <c r="K19" s="19">
        <v>0.05</v>
      </c>
      <c r="L19" s="20">
        <f t="shared" si="1"/>
        <v>95.6</v>
      </c>
      <c r="N19" s="21"/>
    </row>
    <row r="20">
      <c r="A20" s="12" t="s">
        <v>27</v>
      </c>
      <c r="B20" s="25" t="s">
        <v>303</v>
      </c>
      <c r="C20" s="23" t="s">
        <v>66</v>
      </c>
      <c r="D20" s="24">
        <v>80.0</v>
      </c>
      <c r="F20" s="16" t="s">
        <v>38</v>
      </c>
      <c r="G20" s="56">
        <f>D19+D30+D48</f>
        <v>157</v>
      </c>
      <c r="H20" s="18" t="s">
        <v>170</v>
      </c>
      <c r="I20" s="8"/>
      <c r="J20" s="8"/>
      <c r="K20" s="8"/>
      <c r="L20" s="8"/>
      <c r="N20" s="21"/>
    </row>
    <row r="21">
      <c r="A21" s="12" t="s">
        <v>89</v>
      </c>
      <c r="B21" s="25" t="s">
        <v>40</v>
      </c>
      <c r="C21" s="23" t="s">
        <v>262</v>
      </c>
      <c r="D21" s="24">
        <v>80.0</v>
      </c>
      <c r="F21" s="16" t="s">
        <v>41</v>
      </c>
      <c r="G21" s="56">
        <f>D17</f>
        <v>145</v>
      </c>
      <c r="H21" s="18" t="s">
        <v>170</v>
      </c>
      <c r="I21" s="8"/>
      <c r="J21" s="8"/>
      <c r="K21" s="8"/>
      <c r="L21" s="8"/>
      <c r="N21" s="21"/>
    </row>
    <row r="22">
      <c r="A22" s="12" t="s">
        <v>33</v>
      </c>
      <c r="B22" s="25" t="s">
        <v>261</v>
      </c>
      <c r="C22" s="23" t="s">
        <v>63</v>
      </c>
      <c r="D22" s="24">
        <v>80.0</v>
      </c>
      <c r="F22" s="16" t="s">
        <v>229</v>
      </c>
      <c r="G22" s="56">
        <v>0.0</v>
      </c>
      <c r="H22" s="18" t="s">
        <v>22</v>
      </c>
      <c r="I22" s="8"/>
      <c r="J22" s="26" t="s">
        <v>45</v>
      </c>
      <c r="K22" s="27"/>
      <c r="L22" s="8"/>
      <c r="N22" s="21"/>
    </row>
    <row r="23">
      <c r="A23" s="12" t="s">
        <v>69</v>
      </c>
      <c r="B23" s="25" t="s">
        <v>172</v>
      </c>
      <c r="C23" s="23" t="s">
        <v>59</v>
      </c>
      <c r="D23" s="24">
        <v>61.0</v>
      </c>
      <c r="F23" s="16" t="s">
        <v>48</v>
      </c>
      <c r="G23" s="56">
        <f>D16+D18+D39+D41</f>
        <v>324</v>
      </c>
      <c r="H23" s="18" t="s">
        <v>170</v>
      </c>
      <c r="I23" s="8"/>
      <c r="J23" s="28">
        <v>1.0</v>
      </c>
      <c r="K23" s="28" t="s">
        <v>57</v>
      </c>
      <c r="L23" s="8" t="s">
        <v>56</v>
      </c>
      <c r="M23" s="55">
        <f t="shared" ref="M23:M24" si="2">L15</f>
        <v>860.4</v>
      </c>
      <c r="N23" s="21"/>
    </row>
    <row r="24">
      <c r="A24" s="12" t="s">
        <v>54</v>
      </c>
      <c r="B24" s="25" t="s">
        <v>343</v>
      </c>
      <c r="C24" s="23" t="s">
        <v>66</v>
      </c>
      <c r="D24" s="24">
        <v>80.0</v>
      </c>
      <c r="F24" s="16" t="s">
        <v>51</v>
      </c>
      <c r="G24" s="56">
        <v>0.0</v>
      </c>
      <c r="H24" s="18" t="s">
        <v>22</v>
      </c>
      <c r="I24" s="8"/>
      <c r="J24" s="30">
        <v>2.0</v>
      </c>
      <c r="K24" s="52" t="s">
        <v>178</v>
      </c>
      <c r="L24" s="8" t="s">
        <v>344</v>
      </c>
      <c r="M24" s="55">
        <f t="shared" si="2"/>
        <v>478</v>
      </c>
      <c r="N24" s="59">
        <f>M24/2</f>
        <v>239</v>
      </c>
    </row>
    <row r="25">
      <c r="A25" s="12" t="s">
        <v>60</v>
      </c>
      <c r="B25" s="25" t="s">
        <v>345</v>
      </c>
      <c r="C25" s="23" t="s">
        <v>262</v>
      </c>
      <c r="D25" s="24">
        <v>60.0</v>
      </c>
      <c r="F25" s="16" t="s">
        <v>53</v>
      </c>
      <c r="G25" s="56">
        <v>0.0</v>
      </c>
      <c r="H25" s="18" t="s">
        <v>22</v>
      </c>
      <c r="J25" s="28" t="s">
        <v>231</v>
      </c>
      <c r="K25" s="28" t="s">
        <v>346</v>
      </c>
      <c r="L25" s="8" t="s">
        <v>41</v>
      </c>
      <c r="M25" s="55">
        <f>(L17+L18)/2</f>
        <v>239</v>
      </c>
      <c r="N25" s="21"/>
    </row>
    <row r="26">
      <c r="A26" s="12" t="s">
        <v>180</v>
      </c>
      <c r="B26" s="25" t="s">
        <v>58</v>
      </c>
      <c r="C26" s="23" t="s">
        <v>63</v>
      </c>
      <c r="D26" s="24">
        <v>52.0</v>
      </c>
      <c r="F26" s="16" t="s">
        <v>56</v>
      </c>
      <c r="G26" s="56">
        <f>D27+D33+D37+D47+D55+D57</f>
        <v>113</v>
      </c>
      <c r="H26" s="18" t="s">
        <v>170</v>
      </c>
      <c r="J26" s="30" t="s">
        <v>231</v>
      </c>
      <c r="K26" s="30" t="s">
        <v>33</v>
      </c>
      <c r="L26" s="8" t="s">
        <v>63</v>
      </c>
      <c r="M26" s="55">
        <f>(L17+L18)/2</f>
        <v>239</v>
      </c>
      <c r="N26" s="21"/>
    </row>
    <row r="27">
      <c r="A27" s="12" t="s">
        <v>77</v>
      </c>
      <c r="B27" s="25" t="s">
        <v>58</v>
      </c>
      <c r="C27" s="23" t="s">
        <v>56</v>
      </c>
      <c r="D27" s="24">
        <v>37.0</v>
      </c>
      <c r="F27" s="16" t="s">
        <v>59</v>
      </c>
      <c r="G27" s="56">
        <f>D23+D51+D53</f>
        <v>77</v>
      </c>
      <c r="H27" s="18" t="s">
        <v>170</v>
      </c>
      <c r="I27" s="8"/>
      <c r="J27" s="28" t="s">
        <v>173</v>
      </c>
      <c r="K27" s="28" t="s">
        <v>24</v>
      </c>
      <c r="L27" s="8" t="s">
        <v>38</v>
      </c>
      <c r="M27" s="55">
        <f>L19/2</f>
        <v>47.8</v>
      </c>
      <c r="N27" s="21"/>
    </row>
    <row r="28">
      <c r="A28" s="12" t="s">
        <v>316</v>
      </c>
      <c r="B28" s="25" t="s">
        <v>347</v>
      </c>
      <c r="C28" s="23" t="s">
        <v>25</v>
      </c>
      <c r="D28" s="24">
        <v>35.0</v>
      </c>
      <c r="F28" s="16" t="s">
        <v>61</v>
      </c>
      <c r="G28" s="56">
        <v>0.0</v>
      </c>
      <c r="H28" s="18" t="s">
        <v>22</v>
      </c>
      <c r="I28" s="8"/>
      <c r="J28" s="31" t="s">
        <v>173</v>
      </c>
      <c r="K28" s="31" t="s">
        <v>310</v>
      </c>
      <c r="L28" s="8" t="s">
        <v>28</v>
      </c>
      <c r="M28" s="55">
        <f>L19/2</f>
        <v>47.8</v>
      </c>
      <c r="N28" s="21"/>
    </row>
    <row r="29">
      <c r="A29" s="12" t="s">
        <v>309</v>
      </c>
      <c r="B29" s="25" t="s">
        <v>347</v>
      </c>
      <c r="C29" s="23" t="s">
        <v>262</v>
      </c>
      <c r="D29" s="24">
        <v>38.0</v>
      </c>
      <c r="F29" s="16" t="s">
        <v>63</v>
      </c>
      <c r="G29" s="56">
        <f>D22+D26+D32+D46+D50+D56</f>
        <v>206</v>
      </c>
      <c r="H29" s="18" t="s">
        <v>170</v>
      </c>
      <c r="I29" s="8"/>
      <c r="J29" s="31"/>
      <c r="K29" s="31"/>
      <c r="M29" s="55">
        <f>sum(M23:M28)</f>
        <v>1912</v>
      </c>
      <c r="N29" s="21"/>
    </row>
    <row r="30">
      <c r="A30" s="12" t="s">
        <v>179</v>
      </c>
      <c r="B30" s="25" t="s">
        <v>348</v>
      </c>
      <c r="C30" s="23" t="s">
        <v>38</v>
      </c>
      <c r="D30" s="24">
        <v>40.0</v>
      </c>
      <c r="F30" s="16" t="s">
        <v>66</v>
      </c>
      <c r="G30" s="56">
        <f>D20+D24+D34+D38+D45</f>
        <v>231</v>
      </c>
      <c r="H30" s="18" t="s">
        <v>170</v>
      </c>
      <c r="I30" s="8"/>
      <c r="J30" s="31"/>
      <c r="K30" s="31"/>
      <c r="N30" s="21"/>
    </row>
    <row r="31">
      <c r="A31" s="12" t="s">
        <v>102</v>
      </c>
      <c r="B31" s="25" t="s">
        <v>348</v>
      </c>
      <c r="C31" s="23" t="s">
        <v>28</v>
      </c>
      <c r="D31" s="24">
        <v>31.0</v>
      </c>
      <c r="F31" s="16" t="s">
        <v>262</v>
      </c>
      <c r="G31" s="56">
        <f>D21+D25+D29+D35+D40+D42+D44+D52+D54</f>
        <v>287</v>
      </c>
      <c r="H31" s="18" t="s">
        <v>170</v>
      </c>
      <c r="I31" s="8"/>
      <c r="J31" s="8"/>
      <c r="K31" s="8"/>
      <c r="M31" s="32"/>
      <c r="N31" s="21"/>
    </row>
    <row r="32">
      <c r="A32" s="12" t="s">
        <v>174</v>
      </c>
      <c r="B32" s="25" t="s">
        <v>348</v>
      </c>
      <c r="C32" s="23" t="s">
        <v>63</v>
      </c>
      <c r="D32" s="24">
        <v>36.0</v>
      </c>
      <c r="F32" s="16"/>
      <c r="G32" s="56"/>
      <c r="H32" s="18"/>
      <c r="I32" s="8"/>
      <c r="J32" s="8"/>
      <c r="K32" s="8"/>
      <c r="L32" s="8"/>
      <c r="N32" s="21"/>
    </row>
    <row r="33">
      <c r="A33" s="12" t="s">
        <v>57</v>
      </c>
      <c r="B33" s="25" t="s">
        <v>176</v>
      </c>
      <c r="C33" s="23" t="s">
        <v>56</v>
      </c>
      <c r="D33" s="24">
        <v>29.0</v>
      </c>
      <c r="F33" s="16"/>
      <c r="G33" s="56"/>
      <c r="H33" s="36"/>
      <c r="I33" s="8"/>
      <c r="J33" s="8"/>
      <c r="K33" s="8"/>
      <c r="L33" s="8"/>
      <c r="N33" s="21"/>
    </row>
    <row r="34">
      <c r="A34" s="12" t="s">
        <v>167</v>
      </c>
      <c r="B34" s="25" t="s">
        <v>176</v>
      </c>
      <c r="C34" s="23" t="s">
        <v>66</v>
      </c>
      <c r="D34" s="24">
        <v>30.0</v>
      </c>
      <c r="F34" s="34"/>
      <c r="G34" s="37"/>
      <c r="H34" s="8"/>
      <c r="I34" s="8"/>
      <c r="J34" s="8"/>
      <c r="K34" s="8"/>
      <c r="L34" s="8"/>
      <c r="N34" s="21"/>
    </row>
    <row r="35">
      <c r="A35" s="12" t="s">
        <v>312</v>
      </c>
      <c r="B35" s="25" t="s">
        <v>349</v>
      </c>
      <c r="C35" s="23" t="s">
        <v>262</v>
      </c>
      <c r="D35" s="24">
        <v>29.0</v>
      </c>
      <c r="K35" s="8"/>
      <c r="L35" s="8"/>
      <c r="N35" s="21"/>
    </row>
    <row r="36">
      <c r="A36" s="8" t="s">
        <v>233</v>
      </c>
      <c r="B36" s="25" t="s">
        <v>350</v>
      </c>
      <c r="C36" s="23" t="s">
        <v>28</v>
      </c>
      <c r="D36" s="24">
        <v>30.0</v>
      </c>
      <c r="F36" s="38" t="s">
        <v>21</v>
      </c>
      <c r="G36" s="38" t="s">
        <v>25</v>
      </c>
      <c r="H36" s="38" t="s">
        <v>28</v>
      </c>
      <c r="I36" s="38" t="s">
        <v>31</v>
      </c>
      <c r="J36" s="38" t="s">
        <v>35</v>
      </c>
      <c r="K36" s="38" t="s">
        <v>38</v>
      </c>
      <c r="N36" s="21"/>
    </row>
    <row r="37">
      <c r="A37" s="12" t="s">
        <v>87</v>
      </c>
      <c r="B37" s="25" t="s">
        <v>351</v>
      </c>
      <c r="C37" s="23" t="s">
        <v>56</v>
      </c>
      <c r="D37" s="24">
        <v>20.0</v>
      </c>
      <c r="F37" s="12"/>
      <c r="G37" s="12" t="s">
        <v>316</v>
      </c>
      <c r="H37" s="12" t="s">
        <v>123</v>
      </c>
      <c r="I37" s="12" t="s">
        <v>144</v>
      </c>
      <c r="J37" s="12"/>
      <c r="K37" s="12" t="s">
        <v>24</v>
      </c>
      <c r="L37" s="8"/>
    </row>
    <row r="38">
      <c r="A38" s="12" t="s">
        <v>80</v>
      </c>
      <c r="B38" s="25" t="s">
        <v>352</v>
      </c>
      <c r="C38" s="23" t="s">
        <v>66</v>
      </c>
      <c r="D38" s="24">
        <v>21.0</v>
      </c>
      <c r="F38" s="12"/>
      <c r="G38" s="12"/>
      <c r="H38" s="12" t="s">
        <v>102</v>
      </c>
      <c r="I38" s="12" t="s">
        <v>52</v>
      </c>
      <c r="J38" s="12"/>
      <c r="K38" s="12" t="s">
        <v>179</v>
      </c>
    </row>
    <row r="39">
      <c r="A39" s="12" t="s">
        <v>131</v>
      </c>
      <c r="B39" s="25" t="s">
        <v>352</v>
      </c>
      <c r="C39" s="23" t="s">
        <v>48</v>
      </c>
      <c r="D39" s="24">
        <v>26.0</v>
      </c>
      <c r="F39" s="12"/>
      <c r="G39" s="12"/>
      <c r="H39" s="8" t="s">
        <v>233</v>
      </c>
      <c r="I39" s="12"/>
      <c r="J39" s="12"/>
      <c r="K39" s="12" t="s">
        <v>189</v>
      </c>
    </row>
    <row r="40">
      <c r="A40" s="12" t="s">
        <v>46</v>
      </c>
      <c r="B40" s="25" t="s">
        <v>352</v>
      </c>
      <c r="C40" s="23" t="s">
        <v>262</v>
      </c>
      <c r="D40" s="24">
        <v>25.0</v>
      </c>
      <c r="F40" s="12"/>
      <c r="G40" s="12"/>
      <c r="H40" s="16" t="s">
        <v>103</v>
      </c>
      <c r="I40" s="12"/>
      <c r="J40" s="12"/>
      <c r="K40" s="12"/>
    </row>
    <row r="41">
      <c r="A41" s="12" t="s">
        <v>93</v>
      </c>
      <c r="B41" s="25" t="s">
        <v>79</v>
      </c>
      <c r="C41" s="23" t="s">
        <v>48</v>
      </c>
      <c r="D41" s="24">
        <v>20.0</v>
      </c>
      <c r="F41" s="12"/>
      <c r="G41" s="12"/>
      <c r="H41" s="12"/>
      <c r="I41" s="12"/>
      <c r="J41" s="12"/>
      <c r="K41" s="12"/>
    </row>
    <row r="42">
      <c r="A42" s="12" t="s">
        <v>171</v>
      </c>
      <c r="B42" s="25" t="s">
        <v>79</v>
      </c>
      <c r="C42" s="23" t="s">
        <v>262</v>
      </c>
      <c r="D42" s="24">
        <v>26.0</v>
      </c>
      <c r="F42" s="60"/>
      <c r="K42" s="8"/>
    </row>
    <row r="43">
      <c r="A43" s="12" t="s">
        <v>144</v>
      </c>
      <c r="B43" s="25" t="s">
        <v>79</v>
      </c>
      <c r="C43" s="23" t="s">
        <v>31</v>
      </c>
      <c r="D43" s="24">
        <v>17.0</v>
      </c>
    </row>
    <row r="44">
      <c r="A44" s="12" t="s">
        <v>267</v>
      </c>
      <c r="B44" s="25" t="s">
        <v>235</v>
      </c>
      <c r="C44" s="23" t="s">
        <v>262</v>
      </c>
      <c r="D44" s="24">
        <v>15.0</v>
      </c>
      <c r="F44" s="38" t="s">
        <v>41</v>
      </c>
      <c r="G44" s="38" t="s">
        <v>229</v>
      </c>
      <c r="H44" s="38" t="s">
        <v>48</v>
      </c>
      <c r="I44" s="38" t="s">
        <v>51</v>
      </c>
      <c r="J44" s="38" t="s">
        <v>53</v>
      </c>
      <c r="K44" s="38" t="s">
        <v>56</v>
      </c>
    </row>
    <row r="45">
      <c r="A45" s="12" t="s">
        <v>178</v>
      </c>
      <c r="B45" s="25" t="s">
        <v>235</v>
      </c>
      <c r="C45" s="23" t="s">
        <v>66</v>
      </c>
      <c r="D45" s="24">
        <v>20.0</v>
      </c>
      <c r="F45" s="12" t="s">
        <v>67</v>
      </c>
      <c r="G45" s="12"/>
      <c r="H45" s="12" t="s">
        <v>342</v>
      </c>
      <c r="I45" s="12"/>
      <c r="J45" s="12"/>
      <c r="K45" s="12" t="s">
        <v>77</v>
      </c>
    </row>
    <row r="46">
      <c r="A46" s="12" t="s">
        <v>270</v>
      </c>
      <c r="B46" s="25" t="s">
        <v>353</v>
      </c>
      <c r="C46" s="23" t="s">
        <v>63</v>
      </c>
      <c r="D46" s="24">
        <v>21.0</v>
      </c>
      <c r="F46" s="12"/>
      <c r="G46" s="12"/>
      <c r="H46" s="12" t="s">
        <v>82</v>
      </c>
      <c r="I46" s="12"/>
      <c r="J46" s="12"/>
      <c r="K46" s="12" t="s">
        <v>57</v>
      </c>
    </row>
    <row r="47">
      <c r="A47" s="12" t="s">
        <v>97</v>
      </c>
      <c r="B47" s="25" t="s">
        <v>353</v>
      </c>
      <c r="C47" s="23" t="s">
        <v>56</v>
      </c>
      <c r="D47" s="24">
        <v>18.0</v>
      </c>
      <c r="F47" s="12"/>
      <c r="G47" s="12"/>
      <c r="H47" s="12" t="s">
        <v>131</v>
      </c>
      <c r="I47" s="12"/>
      <c r="J47" s="12"/>
      <c r="K47" s="12" t="s">
        <v>87</v>
      </c>
    </row>
    <row r="48">
      <c r="A48" s="12" t="s">
        <v>189</v>
      </c>
      <c r="B48" s="25" t="s">
        <v>95</v>
      </c>
      <c r="C48" s="23" t="s">
        <v>38</v>
      </c>
      <c r="D48" s="24">
        <v>12.0</v>
      </c>
      <c r="F48" s="12"/>
      <c r="G48" s="12"/>
      <c r="H48" s="12" t="s">
        <v>93</v>
      </c>
      <c r="I48" s="12"/>
      <c r="J48" s="12"/>
      <c r="K48" s="12" t="s">
        <v>97</v>
      </c>
    </row>
    <row r="49">
      <c r="A49" s="12" t="s">
        <v>52</v>
      </c>
      <c r="B49" s="25" t="s">
        <v>95</v>
      </c>
      <c r="C49" s="23" t="s">
        <v>31</v>
      </c>
      <c r="D49" s="24">
        <v>9.0</v>
      </c>
      <c r="K49" s="12" t="s">
        <v>354</v>
      </c>
    </row>
    <row r="50">
      <c r="A50" s="12" t="s">
        <v>114</v>
      </c>
      <c r="B50" s="25" t="s">
        <v>95</v>
      </c>
      <c r="C50" s="23" t="s">
        <v>63</v>
      </c>
      <c r="D50" s="24">
        <v>12.0</v>
      </c>
      <c r="K50" s="8" t="s">
        <v>355</v>
      </c>
      <c r="L50" s="12"/>
    </row>
    <row r="51">
      <c r="A51" s="12" t="s">
        <v>74</v>
      </c>
      <c r="B51" s="61" t="s">
        <v>95</v>
      </c>
      <c r="C51" s="23" t="s">
        <v>59</v>
      </c>
      <c r="D51" s="24">
        <v>9.0</v>
      </c>
      <c r="J51" s="58"/>
      <c r="K51" s="58"/>
      <c r="L51" s="12"/>
    </row>
    <row r="52">
      <c r="A52" s="12" t="s">
        <v>109</v>
      </c>
      <c r="B52" s="40" t="s">
        <v>185</v>
      </c>
      <c r="C52" s="23" t="s">
        <v>262</v>
      </c>
      <c r="D52" s="24">
        <v>8.0</v>
      </c>
      <c r="F52" s="38" t="s">
        <v>59</v>
      </c>
      <c r="G52" s="38" t="s">
        <v>61</v>
      </c>
      <c r="H52" s="38" t="s">
        <v>63</v>
      </c>
      <c r="I52" s="38" t="s">
        <v>66</v>
      </c>
      <c r="J52" s="38" t="s">
        <v>262</v>
      </c>
      <c r="K52" s="12"/>
      <c r="L52" s="12"/>
    </row>
    <row r="53">
      <c r="A53" s="39" t="s">
        <v>98</v>
      </c>
      <c r="B53" s="40" t="s">
        <v>185</v>
      </c>
      <c r="C53" s="23" t="s">
        <v>59</v>
      </c>
      <c r="D53" s="23">
        <v>7.0</v>
      </c>
      <c r="F53" s="12" t="s">
        <v>69</v>
      </c>
      <c r="G53" s="12"/>
      <c r="H53" s="12" t="s">
        <v>33</v>
      </c>
      <c r="I53" s="12" t="s">
        <v>27</v>
      </c>
      <c r="J53" s="12" t="s">
        <v>89</v>
      </c>
      <c r="L53" s="12"/>
    </row>
    <row r="54">
      <c r="A54" s="39" t="s">
        <v>275</v>
      </c>
      <c r="B54" s="40" t="s">
        <v>185</v>
      </c>
      <c r="C54" s="23" t="s">
        <v>262</v>
      </c>
      <c r="D54" s="23">
        <v>6.0</v>
      </c>
      <c r="F54" s="12" t="s">
        <v>74</v>
      </c>
      <c r="G54" s="12"/>
      <c r="H54" s="12" t="s">
        <v>180</v>
      </c>
      <c r="I54" s="12" t="s">
        <v>54</v>
      </c>
      <c r="J54" s="12" t="s">
        <v>60</v>
      </c>
      <c r="L54" s="8"/>
    </row>
    <row r="55">
      <c r="A55" s="12" t="s">
        <v>354</v>
      </c>
      <c r="B55" s="40" t="s">
        <v>185</v>
      </c>
      <c r="C55" s="8" t="s">
        <v>56</v>
      </c>
      <c r="D55" s="23">
        <v>4.0</v>
      </c>
      <c r="F55" s="12" t="s">
        <v>98</v>
      </c>
      <c r="H55" s="12" t="s">
        <v>174</v>
      </c>
      <c r="I55" s="12" t="s">
        <v>167</v>
      </c>
      <c r="J55" s="12" t="s">
        <v>309</v>
      </c>
      <c r="K55" s="12"/>
      <c r="L55" s="8"/>
    </row>
    <row r="56">
      <c r="A56" s="62" t="s">
        <v>324</v>
      </c>
      <c r="B56" s="40" t="s">
        <v>185</v>
      </c>
      <c r="C56" s="23" t="s">
        <v>63</v>
      </c>
      <c r="D56" s="23">
        <v>5.0</v>
      </c>
      <c r="H56" s="12" t="s">
        <v>270</v>
      </c>
      <c r="I56" s="12" t="s">
        <v>80</v>
      </c>
      <c r="J56" s="12" t="s">
        <v>312</v>
      </c>
      <c r="L56" s="12"/>
    </row>
    <row r="57">
      <c r="A57" s="62" t="s">
        <v>355</v>
      </c>
      <c r="B57" s="40" t="s">
        <v>185</v>
      </c>
      <c r="C57" s="23" t="s">
        <v>56</v>
      </c>
      <c r="D57" s="23">
        <v>5.0</v>
      </c>
      <c r="H57" s="12" t="s">
        <v>114</v>
      </c>
      <c r="I57" s="12" t="s">
        <v>178</v>
      </c>
      <c r="J57" s="12" t="s">
        <v>46</v>
      </c>
      <c r="K57" s="8"/>
      <c r="L57" s="8"/>
    </row>
    <row r="58">
      <c r="A58" s="63" t="s">
        <v>103</v>
      </c>
      <c r="B58" s="64" t="s">
        <v>187</v>
      </c>
      <c r="C58" s="65" t="s">
        <v>28</v>
      </c>
      <c r="D58" s="65">
        <v>95.0</v>
      </c>
      <c r="G58" s="58"/>
      <c r="H58" s="8" t="s">
        <v>324</v>
      </c>
      <c r="I58" s="58"/>
      <c r="J58" s="12" t="s">
        <v>171</v>
      </c>
      <c r="K58" s="8"/>
      <c r="L58" s="8"/>
    </row>
    <row r="59">
      <c r="A59" s="12"/>
      <c r="B59" s="46"/>
      <c r="C59" s="34" t="s">
        <v>104</v>
      </c>
      <c r="D59" s="37">
        <f>sum(D15:D58)</f>
        <v>1912</v>
      </c>
      <c r="G59" s="12"/>
      <c r="I59" s="12"/>
      <c r="J59" s="12" t="s">
        <v>267</v>
      </c>
      <c r="K59" s="8"/>
      <c r="L59" s="8"/>
    </row>
    <row r="60">
      <c r="A60" s="47" t="s">
        <v>105</v>
      </c>
      <c r="B60" s="47"/>
      <c r="C60" s="18" t="s">
        <v>106</v>
      </c>
      <c r="D60" s="36" t="str">
        <f>if(G34-D59=0,"No","Yes")</f>
        <v>Yes</v>
      </c>
      <c r="G60" s="12"/>
      <c r="H60" s="12"/>
      <c r="I60" s="12"/>
      <c r="J60" s="12" t="s">
        <v>109</v>
      </c>
      <c r="K60" s="8"/>
      <c r="L60" s="8"/>
    </row>
    <row r="61">
      <c r="A61" s="12" t="s">
        <v>356</v>
      </c>
      <c r="B61" s="46" t="s">
        <v>272</v>
      </c>
      <c r="G61" s="12"/>
      <c r="H61" s="12"/>
      <c r="I61" s="12"/>
      <c r="J61" s="12" t="s">
        <v>275</v>
      </c>
      <c r="K61" s="8"/>
      <c r="L61" s="8"/>
    </row>
    <row r="62">
      <c r="A62" s="12" t="s">
        <v>278</v>
      </c>
      <c r="B62" s="46" t="s">
        <v>315</v>
      </c>
      <c r="G62" s="12"/>
      <c r="H62" s="12"/>
      <c r="I62" s="12"/>
      <c r="J62" s="8"/>
      <c r="K62" s="8"/>
      <c r="L62" s="8"/>
    </row>
    <row r="63">
      <c r="A63" s="12" t="s">
        <v>202</v>
      </c>
      <c r="B63" s="46" t="s">
        <v>315</v>
      </c>
      <c r="C63" s="12"/>
      <c r="G63" s="12"/>
      <c r="H63" s="12"/>
      <c r="I63" s="12"/>
      <c r="J63" s="8"/>
      <c r="K63" s="8"/>
      <c r="L63" s="8"/>
    </row>
    <row r="64">
      <c r="A64" s="12" t="s">
        <v>277</v>
      </c>
      <c r="B64" s="46" t="s">
        <v>315</v>
      </c>
      <c r="C64" s="12"/>
      <c r="I64" s="12"/>
      <c r="J64" s="8"/>
      <c r="K64" s="8"/>
      <c r="L64" s="8"/>
    </row>
    <row r="65">
      <c r="A65" s="12" t="s">
        <v>357</v>
      </c>
      <c r="B65" s="46" t="s">
        <v>315</v>
      </c>
      <c r="G65" s="8"/>
      <c r="H65" s="8"/>
      <c r="I65" s="12"/>
      <c r="J65" s="8"/>
      <c r="K65" s="8"/>
      <c r="L65" s="8"/>
    </row>
    <row r="66">
      <c r="A66" s="12" t="s">
        <v>310</v>
      </c>
      <c r="B66" s="46" t="s">
        <v>315</v>
      </c>
      <c r="G66" s="8"/>
      <c r="H66" s="8"/>
      <c r="I66" s="8"/>
      <c r="J66" s="8"/>
      <c r="K66" s="8"/>
      <c r="L66" s="8"/>
    </row>
    <row r="67">
      <c r="A67" s="12" t="s">
        <v>186</v>
      </c>
      <c r="B67" s="46" t="s">
        <v>315</v>
      </c>
      <c r="G67" s="8"/>
      <c r="H67" s="8"/>
      <c r="I67" s="8"/>
      <c r="J67" s="8"/>
      <c r="K67" s="8"/>
      <c r="L67" s="8"/>
    </row>
    <row r="68">
      <c r="A68" s="12" t="s">
        <v>49</v>
      </c>
      <c r="B68" s="46" t="s">
        <v>315</v>
      </c>
      <c r="C68" s="12"/>
      <c r="G68" s="8"/>
      <c r="H68" s="8"/>
      <c r="I68" s="8"/>
      <c r="J68" s="8"/>
      <c r="K68" s="8"/>
      <c r="L68" s="8"/>
    </row>
    <row r="69">
      <c r="A69" s="12" t="s">
        <v>71</v>
      </c>
      <c r="B69" s="46" t="s">
        <v>315</v>
      </c>
      <c r="C69" s="12"/>
      <c r="G69" s="8"/>
      <c r="H69" s="8"/>
      <c r="I69" s="8"/>
      <c r="J69" s="8"/>
      <c r="K69" s="8"/>
      <c r="L69" s="8"/>
    </row>
    <row r="70">
      <c r="A70" s="12" t="s">
        <v>100</v>
      </c>
      <c r="B70" s="46" t="s">
        <v>315</v>
      </c>
      <c r="C70" s="12"/>
      <c r="F70" s="8"/>
      <c r="G70" s="8"/>
      <c r="H70" s="8"/>
      <c r="I70" s="8"/>
      <c r="J70" s="8"/>
      <c r="K70" s="8"/>
      <c r="L70" s="8"/>
    </row>
    <row r="71">
      <c r="A71" s="12" t="s">
        <v>358</v>
      </c>
      <c r="B71" s="46" t="s">
        <v>359</v>
      </c>
      <c r="C71" s="12"/>
      <c r="F71" s="8"/>
      <c r="G71" s="8"/>
      <c r="H71" s="8"/>
      <c r="I71" s="8"/>
      <c r="J71" s="8"/>
      <c r="K71" s="8"/>
      <c r="L71" s="8"/>
    </row>
    <row r="72">
      <c r="A72" s="12" t="s">
        <v>158</v>
      </c>
      <c r="B72" s="46" t="s">
        <v>359</v>
      </c>
      <c r="C72" s="12"/>
      <c r="F72" s="8"/>
      <c r="G72" s="8"/>
      <c r="H72" s="8"/>
      <c r="I72" s="8"/>
      <c r="J72" s="8"/>
      <c r="K72" s="8"/>
      <c r="L72" s="8"/>
    </row>
    <row r="73">
      <c r="A73" s="12" t="s">
        <v>360</v>
      </c>
      <c r="B73" s="46" t="s">
        <v>359</v>
      </c>
      <c r="C73" s="12"/>
      <c r="F73" s="8"/>
      <c r="G73" s="8"/>
      <c r="H73" s="8"/>
      <c r="I73" s="8"/>
      <c r="J73" s="8"/>
      <c r="K73" s="8"/>
      <c r="L73" s="8"/>
    </row>
    <row r="74">
      <c r="A74" s="12" t="s">
        <v>361</v>
      </c>
      <c r="B74" s="46" t="s">
        <v>359</v>
      </c>
      <c r="C74" s="12"/>
      <c r="F74" s="8"/>
      <c r="G74" s="8"/>
      <c r="H74" s="8"/>
      <c r="I74" s="8"/>
      <c r="J74" s="8"/>
      <c r="K74" s="8"/>
      <c r="L74" s="8"/>
    </row>
    <row r="75">
      <c r="A75" s="12" t="s">
        <v>327</v>
      </c>
      <c r="B75" s="46" t="s">
        <v>359</v>
      </c>
      <c r="C75" s="12"/>
      <c r="F75" s="8"/>
      <c r="G75" s="8"/>
      <c r="H75" s="8"/>
      <c r="I75" s="8"/>
      <c r="J75" s="8"/>
      <c r="K75" s="8"/>
      <c r="L75" s="8"/>
    </row>
    <row r="76">
      <c r="A76" s="12" t="s">
        <v>283</v>
      </c>
      <c r="B76" s="46" t="s">
        <v>362</v>
      </c>
      <c r="C76" s="12"/>
      <c r="F76" s="8"/>
      <c r="G76" s="8"/>
      <c r="H76" s="8"/>
      <c r="I76" s="8"/>
      <c r="J76" s="8"/>
      <c r="K76" s="8"/>
      <c r="L76" s="8"/>
    </row>
    <row r="77">
      <c r="A77" s="12" t="s">
        <v>363</v>
      </c>
      <c r="B77" s="46" t="s">
        <v>317</v>
      </c>
      <c r="C77" s="12"/>
      <c r="F77" s="8"/>
      <c r="G77" s="8"/>
      <c r="H77" s="8"/>
      <c r="I77" s="8"/>
      <c r="J77" s="8"/>
      <c r="K77" s="8"/>
      <c r="L77" s="8"/>
    </row>
    <row r="78">
      <c r="A78" s="12" t="s">
        <v>147</v>
      </c>
      <c r="B78" s="46" t="s">
        <v>317</v>
      </c>
      <c r="C78" s="12"/>
      <c r="F78" s="8"/>
      <c r="G78" s="8"/>
      <c r="H78" s="8"/>
      <c r="I78" s="8"/>
      <c r="J78" s="8"/>
      <c r="K78" s="8"/>
      <c r="L78" s="8"/>
    </row>
    <row r="79">
      <c r="A79" s="12" t="s">
        <v>279</v>
      </c>
      <c r="B79" s="46" t="s">
        <v>364</v>
      </c>
      <c r="C79" s="12"/>
      <c r="F79" s="8"/>
      <c r="G79" s="8"/>
      <c r="H79" s="8"/>
      <c r="I79" s="8"/>
      <c r="J79" s="8"/>
      <c r="K79" s="8"/>
      <c r="L79" s="8"/>
    </row>
    <row r="80">
      <c r="A80" s="12" t="s">
        <v>365</v>
      </c>
      <c r="B80" s="46" t="s">
        <v>127</v>
      </c>
      <c r="C80" s="12"/>
      <c r="F80" s="8"/>
      <c r="G80" s="8"/>
      <c r="H80" s="8"/>
      <c r="I80" s="8"/>
      <c r="J80" s="8"/>
      <c r="K80" s="8"/>
      <c r="L80" s="8"/>
    </row>
    <row r="81">
      <c r="A81" s="12" t="s">
        <v>366</v>
      </c>
      <c r="B81" s="46" t="s">
        <v>323</v>
      </c>
      <c r="C81" s="12"/>
      <c r="F81" s="8"/>
      <c r="G81" s="8"/>
      <c r="H81" s="8"/>
      <c r="I81" s="8"/>
      <c r="J81" s="8"/>
      <c r="K81" s="8"/>
      <c r="L81" s="8"/>
    </row>
    <row r="82">
      <c r="A82" s="12" t="s">
        <v>367</v>
      </c>
      <c r="B82" s="46" t="s">
        <v>323</v>
      </c>
      <c r="C82" s="12"/>
      <c r="F82" s="8"/>
      <c r="G82" s="8"/>
      <c r="H82" s="8"/>
      <c r="I82" s="8"/>
      <c r="J82" s="8"/>
      <c r="K82" s="8"/>
      <c r="L82" s="8"/>
    </row>
    <row r="83">
      <c r="A83" s="12" t="s">
        <v>280</v>
      </c>
      <c r="B83" s="46" t="s">
        <v>323</v>
      </c>
      <c r="C83" s="12"/>
      <c r="F83" s="8"/>
      <c r="G83" s="8"/>
      <c r="H83" s="8"/>
      <c r="I83" s="8"/>
      <c r="J83" s="8"/>
      <c r="K83" s="8"/>
      <c r="L83" s="8"/>
    </row>
    <row r="84">
      <c r="A84" s="12" t="s">
        <v>368</v>
      </c>
      <c r="B84" s="46" t="s">
        <v>136</v>
      </c>
      <c r="C84" s="12"/>
      <c r="F84" s="8"/>
      <c r="G84" s="8"/>
      <c r="H84" s="8"/>
      <c r="I84" s="8"/>
      <c r="J84" s="8"/>
      <c r="K84" s="8"/>
      <c r="L84" s="8"/>
    </row>
    <row r="85">
      <c r="A85" s="12" t="s">
        <v>148</v>
      </c>
      <c r="B85" s="46" t="s">
        <v>136</v>
      </c>
      <c r="C85" s="12"/>
      <c r="F85" s="8"/>
      <c r="G85" s="8"/>
      <c r="H85" s="8"/>
      <c r="I85" s="8"/>
      <c r="J85" s="8"/>
      <c r="K85" s="8"/>
      <c r="L85" s="8"/>
    </row>
    <row r="86">
      <c r="A86" s="12" t="s">
        <v>369</v>
      </c>
      <c r="B86" s="46" t="s">
        <v>136</v>
      </c>
      <c r="C86" s="12"/>
      <c r="F86" s="8"/>
      <c r="G86" s="8"/>
      <c r="H86" s="8"/>
      <c r="I86" s="8"/>
      <c r="J86" s="8"/>
      <c r="K86" s="8"/>
      <c r="L86" s="8"/>
    </row>
    <row r="87">
      <c r="A87" s="12" t="s">
        <v>370</v>
      </c>
      <c r="B87" s="46" t="s">
        <v>136</v>
      </c>
      <c r="C87" s="12"/>
      <c r="F87" s="8"/>
      <c r="G87" s="8"/>
      <c r="H87" s="8"/>
      <c r="I87" s="8"/>
      <c r="J87" s="8"/>
      <c r="K87" s="8"/>
      <c r="L87" s="8"/>
    </row>
    <row r="88">
      <c r="A88" s="12" t="s">
        <v>371</v>
      </c>
      <c r="B88" s="46" t="s">
        <v>136</v>
      </c>
      <c r="C88" s="12"/>
      <c r="F88" s="8"/>
      <c r="G88" s="8"/>
      <c r="H88" s="8"/>
      <c r="I88" s="8"/>
      <c r="J88" s="8"/>
      <c r="K88" s="8"/>
      <c r="L88" s="8"/>
    </row>
    <row r="89">
      <c r="A89" s="12" t="s">
        <v>372</v>
      </c>
      <c r="B89" s="46" t="s">
        <v>210</v>
      </c>
      <c r="C89" s="12"/>
      <c r="F89" s="8"/>
      <c r="G89" s="8"/>
      <c r="H89" s="8"/>
      <c r="I89" s="8"/>
      <c r="J89" s="8"/>
      <c r="K89" s="8"/>
      <c r="L89" s="8"/>
    </row>
    <row r="90">
      <c r="A90" s="12" t="s">
        <v>336</v>
      </c>
      <c r="B90" s="46" t="s">
        <v>142</v>
      </c>
      <c r="C90" s="12"/>
      <c r="F90" s="8"/>
      <c r="G90" s="8"/>
      <c r="H90" s="8"/>
      <c r="I90" s="8"/>
      <c r="J90" s="8"/>
      <c r="K90" s="8"/>
      <c r="L90" s="8"/>
    </row>
    <row r="91">
      <c r="A91" s="12" t="s">
        <v>373</v>
      </c>
      <c r="B91" s="46" t="s">
        <v>142</v>
      </c>
      <c r="C91" s="12"/>
      <c r="F91" s="8"/>
      <c r="G91" s="8"/>
      <c r="H91" s="8"/>
      <c r="I91" s="8"/>
      <c r="J91" s="8"/>
      <c r="K91" s="8"/>
      <c r="L91" s="8"/>
    </row>
    <row r="92">
      <c r="A92" s="12" t="s">
        <v>332</v>
      </c>
      <c r="B92" s="46" t="s">
        <v>142</v>
      </c>
      <c r="C92" s="12"/>
      <c r="F92" s="8"/>
      <c r="G92" s="8"/>
      <c r="H92" s="8"/>
      <c r="I92" s="8"/>
      <c r="J92" s="8"/>
      <c r="K92" s="8"/>
      <c r="L92" s="8"/>
    </row>
    <row r="93">
      <c r="A93" s="12" t="s">
        <v>287</v>
      </c>
      <c r="B93" s="46" t="s">
        <v>374</v>
      </c>
      <c r="C93" s="12"/>
      <c r="F93" s="8"/>
      <c r="G93" s="8"/>
      <c r="H93" s="8"/>
      <c r="I93" s="8"/>
      <c r="J93" s="8"/>
      <c r="K93" s="8"/>
      <c r="L93" s="8"/>
    </row>
    <row r="94">
      <c r="A94" s="12" t="s">
        <v>159</v>
      </c>
      <c r="B94" s="46" t="s">
        <v>374</v>
      </c>
      <c r="C94" s="12"/>
      <c r="F94" s="8"/>
      <c r="G94" s="8"/>
      <c r="H94" s="8"/>
      <c r="I94" s="8"/>
      <c r="J94" s="8"/>
      <c r="K94" s="8"/>
      <c r="L94" s="8"/>
    </row>
    <row r="95">
      <c r="A95" s="12" t="s">
        <v>375</v>
      </c>
      <c r="B95" s="46" t="s">
        <v>374</v>
      </c>
      <c r="C95" s="12"/>
      <c r="F95" s="8"/>
      <c r="G95" s="8"/>
      <c r="H95" s="8"/>
      <c r="I95" s="8"/>
      <c r="J95" s="8"/>
      <c r="K95" s="8"/>
      <c r="L95" s="8"/>
    </row>
    <row r="96">
      <c r="A96" s="12" t="s">
        <v>376</v>
      </c>
      <c r="B96" s="46" t="s">
        <v>374</v>
      </c>
      <c r="C96" s="12"/>
      <c r="F96" s="8"/>
      <c r="G96" s="8"/>
      <c r="H96" s="8"/>
      <c r="I96" s="8"/>
      <c r="J96" s="8"/>
      <c r="K96" s="8"/>
      <c r="L96" s="8"/>
    </row>
    <row r="97">
      <c r="A97" s="12" t="s">
        <v>377</v>
      </c>
      <c r="B97" s="46" t="s">
        <v>374</v>
      </c>
      <c r="C97" s="12"/>
      <c r="F97" s="8"/>
      <c r="G97" s="8"/>
      <c r="H97" s="8"/>
      <c r="I97" s="8"/>
      <c r="J97" s="8"/>
      <c r="K97" s="8"/>
      <c r="L97" s="8"/>
    </row>
    <row r="98">
      <c r="A98" s="12" t="s">
        <v>154</v>
      </c>
      <c r="B98" s="46" t="s">
        <v>374</v>
      </c>
      <c r="C98" s="12"/>
      <c r="F98" s="8"/>
      <c r="G98" s="8"/>
      <c r="H98" s="8"/>
      <c r="I98" s="8"/>
      <c r="J98" s="8"/>
      <c r="K98" s="8"/>
      <c r="L98" s="8"/>
    </row>
    <row r="99">
      <c r="A99" s="12" t="s">
        <v>378</v>
      </c>
      <c r="B99" s="50" t="s">
        <v>151</v>
      </c>
      <c r="C99" s="12"/>
      <c r="F99" s="8"/>
      <c r="G99" s="8"/>
      <c r="H99" s="8"/>
      <c r="I99" s="8"/>
      <c r="J99" s="8"/>
      <c r="K99" s="8"/>
      <c r="L99" s="8"/>
    </row>
    <row r="100">
      <c r="A100" s="12" t="s">
        <v>379</v>
      </c>
      <c r="B100" s="50" t="s">
        <v>151</v>
      </c>
      <c r="C100" s="12"/>
      <c r="F100" s="8"/>
      <c r="G100" s="8"/>
      <c r="H100" s="8"/>
      <c r="I100" s="8"/>
      <c r="J100" s="8"/>
      <c r="K100" s="8"/>
      <c r="L100" s="8"/>
    </row>
    <row r="101">
      <c r="A101" s="12" t="s">
        <v>380</v>
      </c>
      <c r="B101" s="50" t="s">
        <v>151</v>
      </c>
      <c r="C101" s="12"/>
      <c r="F101" s="8"/>
      <c r="G101" s="8"/>
      <c r="H101" s="8"/>
      <c r="I101" s="8"/>
      <c r="J101" s="8"/>
      <c r="K101" s="8"/>
      <c r="L101" s="8"/>
    </row>
    <row r="102">
      <c r="A102" s="12" t="s">
        <v>155</v>
      </c>
      <c r="B102" s="50" t="s">
        <v>151</v>
      </c>
      <c r="C102" s="12"/>
      <c r="F102" s="8"/>
      <c r="G102" s="8"/>
      <c r="H102" s="8"/>
      <c r="I102" s="8"/>
      <c r="J102" s="8"/>
      <c r="K102" s="8"/>
      <c r="L102" s="8"/>
    </row>
    <row r="103">
      <c r="A103" s="12" t="s">
        <v>295</v>
      </c>
      <c r="B103" s="50" t="s">
        <v>151</v>
      </c>
      <c r="C103" s="12"/>
      <c r="F103" s="8"/>
      <c r="G103" s="8"/>
      <c r="H103" s="8"/>
      <c r="I103" s="8"/>
      <c r="J103" s="8"/>
      <c r="K103" s="8"/>
      <c r="L103" s="8"/>
    </row>
    <row r="104">
      <c r="A104" s="12" t="s">
        <v>162</v>
      </c>
      <c r="B104" s="50" t="s">
        <v>151</v>
      </c>
      <c r="C104" s="12"/>
      <c r="F104" s="8"/>
      <c r="G104" s="8"/>
      <c r="H104" s="8"/>
      <c r="I104" s="8"/>
      <c r="J104" s="8"/>
      <c r="K104" s="8"/>
      <c r="L104" s="8"/>
    </row>
    <row r="105">
      <c r="A105" s="12" t="s">
        <v>296</v>
      </c>
      <c r="B105" s="50" t="s">
        <v>151</v>
      </c>
      <c r="C105" s="12"/>
      <c r="F105" s="8"/>
      <c r="G105" s="8"/>
      <c r="H105" s="8"/>
      <c r="I105" s="8"/>
      <c r="J105" s="8"/>
      <c r="K105" s="8"/>
      <c r="L105" s="8"/>
    </row>
    <row r="106">
      <c r="A106" s="53"/>
      <c r="B106" s="46"/>
      <c r="C106" s="12"/>
      <c r="F106" s="8"/>
      <c r="G106" s="8"/>
      <c r="H106" s="8"/>
      <c r="I106" s="8"/>
      <c r="J106" s="8"/>
      <c r="K106" s="8"/>
      <c r="L106" s="8"/>
    </row>
    <row r="107">
      <c r="A107" s="53" t="s">
        <v>297</v>
      </c>
      <c r="B107" s="46"/>
      <c r="C107" s="12"/>
      <c r="F107" s="8"/>
      <c r="G107" s="8"/>
      <c r="H107" s="8"/>
      <c r="I107" s="8"/>
      <c r="J107" s="8"/>
      <c r="K107" s="8"/>
      <c r="L107" s="8"/>
    </row>
    <row r="108">
      <c r="A108" s="54" t="s">
        <v>381</v>
      </c>
      <c r="B108" s="46"/>
      <c r="C108" s="12"/>
      <c r="F108" s="8"/>
      <c r="G108" s="8"/>
      <c r="H108" s="8"/>
      <c r="I108" s="8"/>
      <c r="J108" s="8"/>
      <c r="K108" s="8"/>
      <c r="L108" s="8"/>
    </row>
    <row r="109">
      <c r="A109" s="12"/>
      <c r="B109" s="46"/>
      <c r="C109" s="12"/>
      <c r="L109" s="8"/>
    </row>
    <row r="110">
      <c r="A110" s="12"/>
      <c r="B110" s="46"/>
      <c r="C110" s="12"/>
      <c r="L110" s="8"/>
    </row>
    <row r="111">
      <c r="A111" s="12"/>
      <c r="B111" s="46"/>
      <c r="C111" s="12"/>
      <c r="L111" s="8"/>
    </row>
  </sheetData>
  <mergeCells count="5">
    <mergeCell ref="A1:L1"/>
    <mergeCell ref="A2:L2"/>
    <mergeCell ref="A3:L3"/>
    <mergeCell ref="A4:L4"/>
    <mergeCell ref="J22:K22"/>
  </mergeCells>
  <conditionalFormatting sqref="H15:H33">
    <cfRule type="cellIs" dxfId="0" priority="1" operator="equal">
      <formula>"No"</formula>
    </cfRule>
  </conditionalFormatting>
  <conditionalFormatting sqref="H15:H33">
    <cfRule type="cellIs" dxfId="1" priority="2" operator="equal">
      <formula>"Yes"</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4" width="11.88"/>
    <col customWidth="1" min="5" max="5" width="8.88"/>
    <col customWidth="1" min="6" max="11" width="18.25"/>
  </cols>
  <sheetData>
    <row r="1">
      <c r="A1" s="1" t="s">
        <v>382</v>
      </c>
    </row>
    <row r="2">
      <c r="A2" s="2" t="s">
        <v>1</v>
      </c>
    </row>
    <row r="3">
      <c r="A3" s="3" t="s">
        <v>383</v>
      </c>
    </row>
    <row r="4">
      <c r="A4" s="3" t="s">
        <v>3</v>
      </c>
    </row>
    <row r="5">
      <c r="A5" s="4"/>
      <c r="B5" s="4"/>
      <c r="C5" s="4"/>
      <c r="D5" s="4"/>
      <c r="E5" s="4"/>
      <c r="F5" s="4"/>
      <c r="G5" s="4"/>
      <c r="H5" s="4"/>
      <c r="I5" s="4"/>
      <c r="J5" s="5"/>
      <c r="K5" s="5"/>
      <c r="L5" s="5"/>
    </row>
    <row r="6">
      <c r="A6" s="6" t="s">
        <v>4</v>
      </c>
    </row>
    <row r="7">
      <c r="A7" s="7" t="s">
        <v>166</v>
      </c>
      <c r="B7" s="7"/>
      <c r="C7" s="7"/>
      <c r="D7" s="7"/>
      <c r="E7" s="7"/>
      <c r="F7" s="7"/>
      <c r="G7" s="7"/>
      <c r="H7" s="7"/>
      <c r="I7" s="7"/>
      <c r="J7" s="7"/>
      <c r="K7" s="7"/>
      <c r="L7" s="7"/>
    </row>
    <row r="8">
      <c r="A8" s="8" t="s">
        <v>6</v>
      </c>
    </row>
    <row r="9">
      <c r="A9" s="8" t="s">
        <v>7</v>
      </c>
    </row>
    <row r="10">
      <c r="A10" s="8" t="s">
        <v>8</v>
      </c>
    </row>
    <row r="11">
      <c r="A11" s="8" t="s">
        <v>9</v>
      </c>
    </row>
    <row r="14">
      <c r="A14" s="9" t="s">
        <v>10</v>
      </c>
      <c r="B14" s="10" t="s">
        <v>11</v>
      </c>
      <c r="C14" s="10" t="s">
        <v>12</v>
      </c>
      <c r="D14" s="10" t="s">
        <v>13</v>
      </c>
      <c r="F14" s="11" t="s">
        <v>14</v>
      </c>
      <c r="G14" s="11" t="s">
        <v>15</v>
      </c>
      <c r="H14" s="11" t="s">
        <v>16</v>
      </c>
      <c r="J14" s="11" t="s">
        <v>17</v>
      </c>
      <c r="K14" s="11" t="s">
        <v>18</v>
      </c>
      <c r="L14" s="11" t="s">
        <v>19</v>
      </c>
    </row>
    <row r="15">
      <c r="A15" s="12" t="s">
        <v>27</v>
      </c>
      <c r="B15" s="13">
        <v>43678.0</v>
      </c>
      <c r="C15" s="14" t="s">
        <v>384</v>
      </c>
      <c r="D15" s="15">
        <v>90.0</v>
      </c>
      <c r="F15" s="16" t="s">
        <v>385</v>
      </c>
      <c r="G15" s="56">
        <v>0.0</v>
      </c>
      <c r="H15" s="36" t="s">
        <v>386</v>
      </c>
      <c r="J15" s="8" t="s">
        <v>23</v>
      </c>
      <c r="K15" s="19">
        <v>0.45</v>
      </c>
      <c r="L15" s="20">
        <f t="shared" ref="L15:L19" si="1">K15*$D$59</f>
        <v>675.45</v>
      </c>
      <c r="N15" s="21"/>
    </row>
    <row r="16">
      <c r="A16" s="12" t="s">
        <v>123</v>
      </c>
      <c r="B16" s="22">
        <v>43739.0</v>
      </c>
      <c r="C16" s="23" t="s">
        <v>387</v>
      </c>
      <c r="D16" s="24">
        <v>85.0</v>
      </c>
      <c r="F16" s="16" t="s">
        <v>388</v>
      </c>
      <c r="G16" s="56">
        <v>0.0</v>
      </c>
      <c r="H16" s="36" t="s">
        <v>386</v>
      </c>
      <c r="I16" s="8"/>
      <c r="J16" s="8" t="s">
        <v>26</v>
      </c>
      <c r="K16" s="19">
        <v>0.25</v>
      </c>
      <c r="L16" s="20">
        <f t="shared" si="1"/>
        <v>375.25</v>
      </c>
      <c r="N16" s="21"/>
    </row>
    <row r="17">
      <c r="A17" s="12" t="s">
        <v>52</v>
      </c>
      <c r="B17" s="25" t="s">
        <v>169</v>
      </c>
      <c r="C17" s="23" t="s">
        <v>28</v>
      </c>
      <c r="D17" s="24">
        <v>88.0</v>
      </c>
      <c r="F17" s="16" t="s">
        <v>389</v>
      </c>
      <c r="G17" s="56">
        <v>0.0</v>
      </c>
      <c r="H17" s="36" t="s">
        <v>386</v>
      </c>
      <c r="I17" s="8"/>
      <c r="J17" s="8" t="s">
        <v>29</v>
      </c>
      <c r="K17" s="19">
        <v>0.15</v>
      </c>
      <c r="L17" s="20">
        <f t="shared" si="1"/>
        <v>225.15</v>
      </c>
      <c r="N17" s="21"/>
    </row>
    <row r="18">
      <c r="A18" s="12" t="s">
        <v>236</v>
      </c>
      <c r="B18" s="25" t="s">
        <v>169</v>
      </c>
      <c r="C18" s="23" t="s">
        <v>66</v>
      </c>
      <c r="D18" s="24">
        <v>76.0</v>
      </c>
      <c r="E18" s="8"/>
      <c r="F18" s="16" t="s">
        <v>390</v>
      </c>
      <c r="G18" s="56">
        <f>D26+D31+D43</f>
        <v>92</v>
      </c>
      <c r="H18" s="18" t="s">
        <v>170</v>
      </c>
      <c r="J18" s="8" t="s">
        <v>32</v>
      </c>
      <c r="K18" s="19">
        <v>0.1</v>
      </c>
      <c r="L18" s="20">
        <f t="shared" si="1"/>
        <v>150.1</v>
      </c>
      <c r="N18" s="21"/>
    </row>
    <row r="19">
      <c r="A19" s="12" t="s">
        <v>67</v>
      </c>
      <c r="B19" s="25" t="s">
        <v>391</v>
      </c>
      <c r="C19" s="23" t="s">
        <v>41</v>
      </c>
      <c r="D19" s="24">
        <v>71.0</v>
      </c>
      <c r="E19" s="8"/>
      <c r="F19" s="16" t="s">
        <v>392</v>
      </c>
      <c r="G19" s="56">
        <f>D17+D27+D34</f>
        <v>158</v>
      </c>
      <c r="H19" s="18" t="s">
        <v>170</v>
      </c>
      <c r="I19" s="8"/>
      <c r="J19" s="8" t="s">
        <v>36</v>
      </c>
      <c r="K19" s="19">
        <v>0.05</v>
      </c>
      <c r="L19" s="20">
        <f t="shared" si="1"/>
        <v>75.05</v>
      </c>
      <c r="N19" s="21"/>
    </row>
    <row r="20">
      <c r="A20" s="12" t="s">
        <v>69</v>
      </c>
      <c r="B20" s="25" t="s">
        <v>260</v>
      </c>
      <c r="C20" s="23" t="s">
        <v>59</v>
      </c>
      <c r="D20" s="24">
        <v>77.0</v>
      </c>
      <c r="F20" s="16" t="s">
        <v>393</v>
      </c>
      <c r="G20" s="56">
        <f>D23+D37+D38+D53</f>
        <v>111</v>
      </c>
      <c r="H20" s="18" t="s">
        <v>170</v>
      </c>
      <c r="I20" s="8"/>
      <c r="J20" s="8"/>
      <c r="K20" s="8"/>
      <c r="L20" s="8"/>
      <c r="N20" s="21"/>
    </row>
    <row r="21">
      <c r="A21" s="12" t="s">
        <v>277</v>
      </c>
      <c r="B21" s="25" t="s">
        <v>260</v>
      </c>
      <c r="C21" s="23" t="s">
        <v>63</v>
      </c>
      <c r="D21" s="24">
        <v>70.0</v>
      </c>
      <c r="F21" s="16" t="s">
        <v>394</v>
      </c>
      <c r="G21" s="56">
        <f>D36</f>
        <v>30</v>
      </c>
      <c r="H21" s="18" t="s">
        <v>170</v>
      </c>
      <c r="I21" s="8"/>
      <c r="J21" s="8"/>
      <c r="K21" s="8"/>
      <c r="L21" s="8"/>
      <c r="N21" s="21"/>
    </row>
    <row r="22">
      <c r="A22" s="12" t="s">
        <v>82</v>
      </c>
      <c r="B22" s="25" t="s">
        <v>260</v>
      </c>
      <c r="C22" s="23" t="s">
        <v>395</v>
      </c>
      <c r="D22" s="24">
        <v>82.0</v>
      </c>
      <c r="F22" s="16" t="s">
        <v>396</v>
      </c>
      <c r="G22" s="56">
        <v>0.0</v>
      </c>
      <c r="H22" s="36" t="s">
        <v>386</v>
      </c>
      <c r="I22" s="8"/>
      <c r="J22" s="26" t="s">
        <v>45</v>
      </c>
      <c r="K22" s="27"/>
      <c r="L22" s="8"/>
      <c r="N22" s="21"/>
    </row>
    <row r="23">
      <c r="A23" s="12" t="s">
        <v>237</v>
      </c>
      <c r="B23" s="25" t="s">
        <v>260</v>
      </c>
      <c r="C23" s="23" t="s">
        <v>31</v>
      </c>
      <c r="D23" s="24">
        <v>69.0</v>
      </c>
      <c r="F23" s="16" t="s">
        <v>397</v>
      </c>
      <c r="G23" s="56">
        <f>D15+D35+D45</f>
        <v>145</v>
      </c>
      <c r="H23" s="18" t="s">
        <v>170</v>
      </c>
      <c r="I23" s="8"/>
      <c r="J23" s="66">
        <v>1.0</v>
      </c>
      <c r="K23" s="28" t="s">
        <v>236</v>
      </c>
      <c r="L23" s="55">
        <f>L15</f>
        <v>675.45</v>
      </c>
      <c r="M23" s="8" t="s">
        <v>66</v>
      </c>
      <c r="N23" s="21"/>
    </row>
    <row r="24">
      <c r="A24" s="12" t="s">
        <v>24</v>
      </c>
      <c r="B24" s="25" t="s">
        <v>40</v>
      </c>
      <c r="C24" s="23" t="s">
        <v>395</v>
      </c>
      <c r="D24" s="24">
        <v>45.0</v>
      </c>
      <c r="F24" s="16" t="s">
        <v>398</v>
      </c>
      <c r="G24" s="56">
        <f>D32+D52</f>
        <v>40</v>
      </c>
      <c r="H24" s="18" t="s">
        <v>170</v>
      </c>
      <c r="I24" s="8"/>
      <c r="J24" s="30" t="s">
        <v>263</v>
      </c>
      <c r="K24" s="30" t="s">
        <v>123</v>
      </c>
      <c r="L24" s="55">
        <f t="shared" ref="L24:L26" si="2">($L$16+$L$17+$L$18)/3</f>
        <v>250.1666667</v>
      </c>
      <c r="M24" s="8" t="s">
        <v>387</v>
      </c>
      <c r="N24" s="21"/>
    </row>
    <row r="25">
      <c r="A25" s="12" t="s">
        <v>342</v>
      </c>
      <c r="B25" s="25" t="s">
        <v>261</v>
      </c>
      <c r="C25" s="23" t="s">
        <v>395</v>
      </c>
      <c r="D25" s="24">
        <v>38.0</v>
      </c>
      <c r="F25" s="16" t="s">
        <v>399</v>
      </c>
      <c r="G25" s="56">
        <v>0.0</v>
      </c>
      <c r="H25" s="36" t="s">
        <v>386</v>
      </c>
      <c r="J25" s="28" t="s">
        <v>263</v>
      </c>
      <c r="K25" s="28" t="s">
        <v>33</v>
      </c>
      <c r="L25" s="55">
        <f t="shared" si="2"/>
        <v>250.1666667</v>
      </c>
      <c r="M25" s="8" t="s">
        <v>66</v>
      </c>
      <c r="N25" s="59">
        <f>L23+L25</f>
        <v>925.6166667</v>
      </c>
    </row>
    <row r="26">
      <c r="A26" s="12" t="s">
        <v>46</v>
      </c>
      <c r="B26" s="25" t="s">
        <v>261</v>
      </c>
      <c r="C26" s="23" t="s">
        <v>400</v>
      </c>
      <c r="D26" s="24">
        <v>41.0</v>
      </c>
      <c r="F26" s="16" t="s">
        <v>401</v>
      </c>
      <c r="G26" s="56">
        <f>D19+D39+D58</f>
        <v>186</v>
      </c>
      <c r="H26" s="18" t="s">
        <v>170</v>
      </c>
      <c r="J26" s="30" t="s">
        <v>263</v>
      </c>
      <c r="K26" s="30" t="s">
        <v>69</v>
      </c>
      <c r="L26" s="55">
        <f t="shared" si="2"/>
        <v>250.1666667</v>
      </c>
      <c r="M26" s="8" t="s">
        <v>59</v>
      </c>
      <c r="N26" s="21"/>
    </row>
    <row r="27">
      <c r="A27" s="12" t="s">
        <v>93</v>
      </c>
      <c r="B27" s="25" t="s">
        <v>50</v>
      </c>
      <c r="C27" s="23" t="s">
        <v>28</v>
      </c>
      <c r="D27" s="24">
        <v>40.0</v>
      </c>
      <c r="F27" s="16" t="s">
        <v>402</v>
      </c>
      <c r="G27" s="56">
        <f>D22+D24+D25+D41+D47+D50+D57</f>
        <v>203</v>
      </c>
      <c r="H27" s="18" t="s">
        <v>170</v>
      </c>
      <c r="I27" s="8"/>
      <c r="J27" s="28" t="s">
        <v>173</v>
      </c>
      <c r="K27" s="28" t="s">
        <v>93</v>
      </c>
      <c r="L27" s="55">
        <f t="shared" ref="L27:L30" si="3">$L$19/4</f>
        <v>18.7625</v>
      </c>
      <c r="M27" s="8" t="s">
        <v>28</v>
      </c>
      <c r="N27" s="21"/>
    </row>
    <row r="28">
      <c r="A28" s="12" t="s">
        <v>309</v>
      </c>
      <c r="B28" s="25" t="s">
        <v>50</v>
      </c>
      <c r="C28" s="23" t="s">
        <v>403</v>
      </c>
      <c r="D28" s="24">
        <v>40.0</v>
      </c>
      <c r="F28" s="16" t="s">
        <v>404</v>
      </c>
      <c r="G28" s="56">
        <v>0.0</v>
      </c>
      <c r="H28" s="36" t="s">
        <v>386</v>
      </c>
      <c r="I28" s="8"/>
      <c r="J28" s="30" t="s">
        <v>173</v>
      </c>
      <c r="K28" s="30" t="s">
        <v>312</v>
      </c>
      <c r="L28" s="55">
        <f t="shared" si="3"/>
        <v>18.7625</v>
      </c>
      <c r="M28" s="8" t="s">
        <v>395</v>
      </c>
      <c r="N28" s="21"/>
    </row>
    <row r="29">
      <c r="A29" s="12" t="s">
        <v>180</v>
      </c>
      <c r="B29" s="25" t="s">
        <v>55</v>
      </c>
      <c r="C29" s="23" t="s">
        <v>63</v>
      </c>
      <c r="D29" s="24">
        <v>38.0</v>
      </c>
      <c r="F29" s="16" t="s">
        <v>405</v>
      </c>
      <c r="G29" s="56">
        <v>0.0</v>
      </c>
      <c r="H29" s="36" t="s">
        <v>386</v>
      </c>
      <c r="I29" s="8"/>
      <c r="J29" s="28" t="s">
        <v>173</v>
      </c>
      <c r="K29" s="28" t="s">
        <v>277</v>
      </c>
      <c r="L29" s="55">
        <f t="shared" si="3"/>
        <v>18.7625</v>
      </c>
      <c r="M29" s="8" t="s">
        <v>63</v>
      </c>
      <c r="N29" s="21"/>
    </row>
    <row r="30">
      <c r="A30" s="12" t="s">
        <v>144</v>
      </c>
      <c r="B30" s="25" t="s">
        <v>58</v>
      </c>
      <c r="C30" s="23" t="s">
        <v>66</v>
      </c>
      <c r="D30" s="24">
        <v>28.0</v>
      </c>
      <c r="F30" s="16" t="s">
        <v>406</v>
      </c>
      <c r="G30" s="56">
        <f>D28</f>
        <v>40</v>
      </c>
      <c r="H30" s="18" t="s">
        <v>170</v>
      </c>
      <c r="I30" s="8"/>
      <c r="J30" s="30" t="s">
        <v>173</v>
      </c>
      <c r="K30" s="30" t="s">
        <v>180</v>
      </c>
      <c r="L30" s="55">
        <f t="shared" si="3"/>
        <v>18.7625</v>
      </c>
      <c r="M30" s="8" t="s">
        <v>63</v>
      </c>
      <c r="N30" s="21"/>
    </row>
    <row r="31">
      <c r="A31" s="12" t="s">
        <v>57</v>
      </c>
      <c r="B31" s="25" t="s">
        <v>58</v>
      </c>
      <c r="C31" s="23" t="s">
        <v>400</v>
      </c>
      <c r="D31" s="24">
        <v>40.0</v>
      </c>
      <c r="F31" s="16" t="s">
        <v>407</v>
      </c>
      <c r="G31" s="56">
        <v>0.0</v>
      </c>
      <c r="H31" s="36" t="s">
        <v>386</v>
      </c>
      <c r="I31" s="8"/>
      <c r="J31" s="8"/>
      <c r="K31" s="8"/>
      <c r="M31" s="32"/>
      <c r="N31" s="21"/>
    </row>
    <row r="32">
      <c r="A32" s="12" t="s">
        <v>267</v>
      </c>
      <c r="B32" s="25" t="s">
        <v>176</v>
      </c>
      <c r="C32" s="23" t="s">
        <v>44</v>
      </c>
      <c r="D32" s="24">
        <v>35.0</v>
      </c>
      <c r="F32" s="16" t="s">
        <v>408</v>
      </c>
      <c r="G32" s="56">
        <f>D20+D44+D49+D55</f>
        <v>105</v>
      </c>
      <c r="H32" s="18" t="s">
        <v>170</v>
      </c>
      <c r="I32" s="8"/>
      <c r="J32" s="8"/>
      <c r="K32" s="8"/>
      <c r="L32" s="8"/>
      <c r="N32" s="21"/>
    </row>
    <row r="33">
      <c r="A33" s="12" t="s">
        <v>33</v>
      </c>
      <c r="B33" s="25" t="s">
        <v>176</v>
      </c>
      <c r="C33" s="23" t="s">
        <v>66</v>
      </c>
      <c r="D33" s="24">
        <v>30.0</v>
      </c>
      <c r="F33" s="16" t="s">
        <v>409</v>
      </c>
      <c r="G33" s="56">
        <v>0.0</v>
      </c>
      <c r="H33" s="36" t="s">
        <v>386</v>
      </c>
      <c r="I33" s="8"/>
      <c r="J33" s="8"/>
      <c r="K33" s="8"/>
      <c r="L33" s="8"/>
      <c r="N33" s="21"/>
    </row>
    <row r="34">
      <c r="A34" s="12" t="s">
        <v>80</v>
      </c>
      <c r="B34" s="25" t="s">
        <v>65</v>
      </c>
      <c r="C34" s="23" t="s">
        <v>28</v>
      </c>
      <c r="D34" s="24">
        <v>30.0</v>
      </c>
      <c r="F34" s="16" t="s">
        <v>410</v>
      </c>
      <c r="G34" s="56">
        <f>D21+D29+D40+D46+D54</f>
        <v>143</v>
      </c>
      <c r="H34" s="18" t="s">
        <v>170</v>
      </c>
      <c r="I34" s="8"/>
      <c r="J34" s="8"/>
      <c r="K34" s="8"/>
      <c r="L34" s="8"/>
      <c r="N34" s="21"/>
    </row>
    <row r="35">
      <c r="A35" s="12" t="s">
        <v>356</v>
      </c>
      <c r="B35" s="25" t="s">
        <v>65</v>
      </c>
      <c r="C35" s="23" t="s">
        <v>384</v>
      </c>
      <c r="D35" s="24">
        <v>40.0</v>
      </c>
      <c r="F35" s="16" t="s">
        <v>411</v>
      </c>
      <c r="G35" s="56">
        <f>D16+D51</f>
        <v>90</v>
      </c>
      <c r="H35" s="18" t="s">
        <v>170</v>
      </c>
      <c r="I35" s="8"/>
      <c r="J35" s="8"/>
      <c r="K35" s="8"/>
      <c r="L35" s="8"/>
      <c r="N35" s="21"/>
    </row>
    <row r="36">
      <c r="A36" s="8" t="s">
        <v>186</v>
      </c>
      <c r="B36" s="25" t="s">
        <v>65</v>
      </c>
      <c r="C36" s="23" t="s">
        <v>412</v>
      </c>
      <c r="D36" s="24">
        <v>30.0</v>
      </c>
      <c r="F36" s="16" t="s">
        <v>413</v>
      </c>
      <c r="G36" s="56">
        <f>D18+D30+D33+D42+D48+D56</f>
        <v>158</v>
      </c>
      <c r="H36" s="18" t="s">
        <v>170</v>
      </c>
      <c r="N36" s="21"/>
    </row>
    <row r="37">
      <c r="A37" s="12" t="s">
        <v>310</v>
      </c>
      <c r="B37" s="25" t="s">
        <v>72</v>
      </c>
      <c r="C37" s="23" t="s">
        <v>31</v>
      </c>
      <c r="D37" s="24">
        <v>20.0</v>
      </c>
      <c r="F37" s="34" t="s">
        <v>73</v>
      </c>
      <c r="G37" s="67">
        <f>sum(G15:G36)</f>
        <v>1501</v>
      </c>
      <c r="H37" s="8"/>
      <c r="I37" s="8"/>
      <c r="J37" s="8"/>
      <c r="K37" s="8"/>
      <c r="L37" s="8"/>
    </row>
    <row r="38">
      <c r="A38" s="12" t="s">
        <v>131</v>
      </c>
      <c r="B38" s="25" t="s">
        <v>72</v>
      </c>
      <c r="C38" s="23" t="s">
        <v>31</v>
      </c>
      <c r="D38" s="24">
        <v>18.0</v>
      </c>
      <c r="K38" s="8"/>
    </row>
    <row r="39">
      <c r="A39" s="12" t="s">
        <v>60</v>
      </c>
      <c r="B39" s="25" t="s">
        <v>79</v>
      </c>
      <c r="C39" s="23" t="s">
        <v>41</v>
      </c>
      <c r="D39" s="24">
        <v>20.0</v>
      </c>
      <c r="F39" s="38" t="s">
        <v>385</v>
      </c>
      <c r="G39" s="38" t="s">
        <v>388</v>
      </c>
      <c r="H39" s="38" t="s">
        <v>389</v>
      </c>
      <c r="I39" s="38" t="s">
        <v>390</v>
      </c>
      <c r="J39" s="38" t="s">
        <v>392</v>
      </c>
      <c r="K39" s="38" t="s">
        <v>393</v>
      </c>
    </row>
    <row r="40">
      <c r="A40" s="12" t="s">
        <v>369</v>
      </c>
      <c r="B40" s="25" t="s">
        <v>81</v>
      </c>
      <c r="C40" s="23" t="s">
        <v>63</v>
      </c>
      <c r="D40" s="24">
        <v>16.0</v>
      </c>
      <c r="F40" s="12"/>
      <c r="G40" s="12"/>
      <c r="H40" s="12"/>
      <c r="I40" s="12" t="s">
        <v>46</v>
      </c>
      <c r="J40" s="12" t="s">
        <v>52</v>
      </c>
      <c r="K40" s="12" t="s">
        <v>237</v>
      </c>
    </row>
    <row r="41">
      <c r="A41" s="12" t="s">
        <v>283</v>
      </c>
      <c r="B41" s="25" t="s">
        <v>81</v>
      </c>
      <c r="C41" s="23" t="s">
        <v>395</v>
      </c>
      <c r="D41" s="24">
        <v>21.0</v>
      </c>
      <c r="F41" s="12"/>
      <c r="G41" s="12"/>
      <c r="H41" s="12"/>
      <c r="I41" s="12" t="s">
        <v>57</v>
      </c>
      <c r="J41" s="12" t="s">
        <v>93</v>
      </c>
      <c r="K41" s="12" t="s">
        <v>310</v>
      </c>
    </row>
    <row r="42">
      <c r="A42" s="12" t="s">
        <v>179</v>
      </c>
      <c r="B42" s="25" t="s">
        <v>266</v>
      </c>
      <c r="C42" s="23" t="s">
        <v>66</v>
      </c>
      <c r="D42" s="24">
        <v>13.0</v>
      </c>
      <c r="F42" s="12"/>
      <c r="G42" s="12"/>
      <c r="H42" s="12"/>
      <c r="I42" s="12" t="s">
        <v>89</v>
      </c>
      <c r="J42" s="12" t="s">
        <v>80</v>
      </c>
      <c r="K42" s="12" t="s">
        <v>131</v>
      </c>
    </row>
    <row r="43">
      <c r="A43" s="12" t="s">
        <v>89</v>
      </c>
      <c r="B43" s="25" t="s">
        <v>85</v>
      </c>
      <c r="C43" s="23" t="s">
        <v>400</v>
      </c>
      <c r="D43" s="24">
        <v>11.0</v>
      </c>
      <c r="F43" s="12"/>
      <c r="G43" s="12"/>
      <c r="H43" s="12"/>
      <c r="I43" s="12"/>
      <c r="J43" s="12"/>
      <c r="K43" s="12" t="s">
        <v>414</v>
      </c>
    </row>
    <row r="44">
      <c r="A44" s="12" t="s">
        <v>100</v>
      </c>
      <c r="B44" s="25" t="s">
        <v>92</v>
      </c>
      <c r="C44" s="23" t="s">
        <v>59</v>
      </c>
      <c r="D44" s="24">
        <v>14.0</v>
      </c>
      <c r="F44" s="12"/>
      <c r="G44" s="12"/>
      <c r="H44" s="12"/>
      <c r="I44" s="12"/>
      <c r="J44" s="12"/>
      <c r="K44" s="12"/>
    </row>
    <row r="45">
      <c r="A45" s="12" t="s">
        <v>415</v>
      </c>
      <c r="B45" s="25" t="s">
        <v>95</v>
      </c>
      <c r="C45" s="23" t="s">
        <v>384</v>
      </c>
      <c r="D45" s="24">
        <v>15.0</v>
      </c>
      <c r="F45" s="60"/>
      <c r="K45" s="8"/>
    </row>
    <row r="46">
      <c r="A46" s="12" t="s">
        <v>416</v>
      </c>
      <c r="B46" s="25" t="s">
        <v>95</v>
      </c>
      <c r="C46" s="23" t="s">
        <v>63</v>
      </c>
      <c r="D46" s="24">
        <v>14.0</v>
      </c>
      <c r="F46" s="38" t="s">
        <v>394</v>
      </c>
      <c r="G46" s="38" t="s">
        <v>417</v>
      </c>
      <c r="H46" s="38" t="s">
        <v>398</v>
      </c>
      <c r="I46" s="38" t="s">
        <v>399</v>
      </c>
      <c r="J46" s="38" t="s">
        <v>401</v>
      </c>
      <c r="K46" s="38" t="s">
        <v>402</v>
      </c>
    </row>
    <row r="47">
      <c r="A47" s="12" t="s">
        <v>357</v>
      </c>
      <c r="B47" s="25" t="s">
        <v>95</v>
      </c>
      <c r="C47" s="23" t="s">
        <v>395</v>
      </c>
      <c r="D47" s="24">
        <v>7.0</v>
      </c>
      <c r="F47" s="8" t="s">
        <v>186</v>
      </c>
      <c r="G47" s="12"/>
      <c r="H47" s="12" t="s">
        <v>267</v>
      </c>
      <c r="I47" s="12"/>
      <c r="J47" s="12" t="s">
        <v>67</v>
      </c>
      <c r="K47" s="12" t="s">
        <v>82</v>
      </c>
    </row>
    <row r="48">
      <c r="A48" s="12" t="s">
        <v>233</v>
      </c>
      <c r="B48" s="25" t="s">
        <v>95</v>
      </c>
      <c r="C48" s="23" t="s">
        <v>66</v>
      </c>
      <c r="D48" s="24">
        <v>7.0</v>
      </c>
      <c r="F48" s="12"/>
      <c r="G48" s="12"/>
      <c r="H48" s="12" t="s">
        <v>418</v>
      </c>
      <c r="I48" s="12"/>
      <c r="J48" s="12" t="s">
        <v>60</v>
      </c>
      <c r="K48" s="12" t="s">
        <v>24</v>
      </c>
    </row>
    <row r="49">
      <c r="A49" s="12" t="s">
        <v>71</v>
      </c>
      <c r="B49" s="25" t="s">
        <v>95</v>
      </c>
      <c r="C49" s="23" t="s">
        <v>59</v>
      </c>
      <c r="D49" s="24">
        <v>9.0</v>
      </c>
      <c r="F49" s="12"/>
      <c r="G49" s="12"/>
      <c r="H49" s="12"/>
      <c r="I49" s="12"/>
      <c r="J49" s="12" t="s">
        <v>103</v>
      </c>
      <c r="K49" s="12" t="s">
        <v>342</v>
      </c>
    </row>
    <row r="50">
      <c r="A50" s="12" t="s">
        <v>312</v>
      </c>
      <c r="B50" s="25" t="s">
        <v>95</v>
      </c>
      <c r="C50" s="23" t="s">
        <v>395</v>
      </c>
      <c r="D50" s="24">
        <v>7.0</v>
      </c>
      <c r="F50" s="12"/>
      <c r="G50" s="12"/>
      <c r="H50" s="12"/>
      <c r="I50" s="12"/>
      <c r="J50" s="12"/>
      <c r="K50" s="12" t="s">
        <v>283</v>
      </c>
      <c r="L50" s="12"/>
    </row>
    <row r="51">
      <c r="A51" s="12" t="s">
        <v>189</v>
      </c>
      <c r="B51" s="61" t="s">
        <v>108</v>
      </c>
      <c r="C51" s="23" t="s">
        <v>387</v>
      </c>
      <c r="D51" s="24">
        <v>5.0</v>
      </c>
      <c r="F51" s="12"/>
      <c r="G51" s="12"/>
      <c r="H51" s="12"/>
      <c r="I51" s="12"/>
      <c r="J51" s="12"/>
      <c r="K51" s="12" t="s">
        <v>357</v>
      </c>
      <c r="L51" s="12"/>
    </row>
    <row r="52">
      <c r="A52" s="12" t="s">
        <v>418</v>
      </c>
      <c r="B52" s="40" t="s">
        <v>108</v>
      </c>
      <c r="C52" s="23" t="s">
        <v>44</v>
      </c>
      <c r="D52" s="24">
        <v>5.0</v>
      </c>
      <c r="K52" s="12" t="s">
        <v>312</v>
      </c>
      <c r="L52" s="12"/>
    </row>
    <row r="53">
      <c r="A53" s="39" t="s">
        <v>414</v>
      </c>
      <c r="B53" s="40" t="s">
        <v>108</v>
      </c>
      <c r="C53" s="23" t="s">
        <v>31</v>
      </c>
      <c r="D53" s="23">
        <v>4.0</v>
      </c>
      <c r="K53" s="12" t="s">
        <v>74</v>
      </c>
      <c r="L53" s="12"/>
    </row>
    <row r="54">
      <c r="A54" s="39" t="s">
        <v>419</v>
      </c>
      <c r="B54" s="40" t="s">
        <v>108</v>
      </c>
      <c r="C54" s="23" t="s">
        <v>63</v>
      </c>
      <c r="D54" s="23">
        <v>5.0</v>
      </c>
      <c r="F54" s="38" t="s">
        <v>404</v>
      </c>
      <c r="G54" s="38" t="s">
        <v>405</v>
      </c>
      <c r="H54" s="38" t="s">
        <v>406</v>
      </c>
      <c r="I54" s="38" t="s">
        <v>407</v>
      </c>
      <c r="J54" s="38" t="s">
        <v>408</v>
      </c>
      <c r="K54" s="38" t="s">
        <v>409</v>
      </c>
      <c r="L54" s="8"/>
    </row>
    <row r="55">
      <c r="A55" s="12" t="s">
        <v>122</v>
      </c>
      <c r="B55" s="40" t="s">
        <v>108</v>
      </c>
      <c r="C55" s="8" t="s">
        <v>59</v>
      </c>
      <c r="D55" s="23">
        <v>5.0</v>
      </c>
      <c r="F55" s="12"/>
      <c r="G55" s="12"/>
      <c r="H55" s="12" t="s">
        <v>309</v>
      </c>
      <c r="I55" s="12"/>
      <c r="J55" s="12" t="s">
        <v>69</v>
      </c>
      <c r="K55" s="12"/>
      <c r="L55" s="8"/>
    </row>
    <row r="56">
      <c r="A56" s="62" t="s">
        <v>420</v>
      </c>
      <c r="B56" s="40" t="s">
        <v>108</v>
      </c>
      <c r="C56" s="23" t="s">
        <v>66</v>
      </c>
      <c r="D56" s="23">
        <v>4.0</v>
      </c>
      <c r="F56" s="12"/>
      <c r="G56" s="12"/>
      <c r="H56" s="12"/>
      <c r="I56" s="12"/>
      <c r="J56" s="12" t="s">
        <v>100</v>
      </c>
      <c r="L56" s="12"/>
    </row>
    <row r="57">
      <c r="A57" s="62" t="s">
        <v>74</v>
      </c>
      <c r="B57" s="40" t="s">
        <v>108</v>
      </c>
      <c r="C57" s="23" t="s">
        <v>395</v>
      </c>
      <c r="D57" s="23">
        <v>3.0</v>
      </c>
      <c r="F57" s="12"/>
      <c r="G57" s="12"/>
      <c r="H57" s="12"/>
      <c r="I57" s="12"/>
      <c r="J57" s="12" t="s">
        <v>71</v>
      </c>
      <c r="L57" s="8"/>
    </row>
    <row r="58">
      <c r="A58" s="63" t="s">
        <v>103</v>
      </c>
      <c r="B58" s="64" t="s">
        <v>187</v>
      </c>
      <c r="C58" s="65" t="s">
        <v>41</v>
      </c>
      <c r="D58" s="65">
        <v>95.0</v>
      </c>
      <c r="H58" s="12"/>
      <c r="I58" s="12"/>
      <c r="J58" s="12" t="s">
        <v>122</v>
      </c>
      <c r="K58" s="12"/>
      <c r="L58" s="8"/>
    </row>
    <row r="59">
      <c r="A59" s="12"/>
      <c r="B59" s="46"/>
      <c r="C59" s="34" t="s">
        <v>104</v>
      </c>
      <c r="D59" s="37">
        <f>sum(D15:D58)</f>
        <v>1501</v>
      </c>
      <c r="F59" s="60"/>
      <c r="G59" s="8"/>
      <c r="H59" s="8"/>
      <c r="I59" s="8"/>
      <c r="J59" s="8"/>
      <c r="K59" s="8"/>
      <c r="L59" s="8"/>
    </row>
    <row r="60">
      <c r="A60" s="47" t="s">
        <v>105</v>
      </c>
      <c r="B60" s="47"/>
      <c r="C60" s="18" t="s">
        <v>106</v>
      </c>
      <c r="D60" s="36" t="str">
        <f>if(G37-D59=0,"No","Yes")</f>
        <v>No</v>
      </c>
      <c r="H60" s="8"/>
      <c r="I60" s="8"/>
      <c r="J60" s="8"/>
      <c r="K60" s="8"/>
      <c r="L60" s="8"/>
    </row>
    <row r="61">
      <c r="A61" s="12" t="s">
        <v>117</v>
      </c>
      <c r="B61" s="50" t="s">
        <v>111</v>
      </c>
      <c r="F61" s="38" t="s">
        <v>410</v>
      </c>
      <c r="G61" s="38" t="s">
        <v>411</v>
      </c>
      <c r="H61" s="38" t="s">
        <v>384</v>
      </c>
      <c r="I61" s="38" t="s">
        <v>66</v>
      </c>
      <c r="J61" s="8"/>
      <c r="K61" s="8"/>
      <c r="L61" s="8"/>
    </row>
    <row r="62">
      <c r="A62" s="12" t="s">
        <v>148</v>
      </c>
      <c r="B62" s="50" t="s">
        <v>111</v>
      </c>
      <c r="F62" s="12" t="s">
        <v>277</v>
      </c>
      <c r="G62" s="12" t="s">
        <v>123</v>
      </c>
      <c r="H62" s="12" t="s">
        <v>27</v>
      </c>
      <c r="I62" s="12" t="s">
        <v>236</v>
      </c>
      <c r="J62" s="8"/>
      <c r="K62" s="8"/>
      <c r="L62" s="8"/>
    </row>
    <row r="63">
      <c r="A63" s="12" t="s">
        <v>252</v>
      </c>
      <c r="B63" s="50" t="s">
        <v>111</v>
      </c>
      <c r="C63" s="12"/>
      <c r="F63" s="12" t="s">
        <v>180</v>
      </c>
      <c r="G63" s="12" t="s">
        <v>189</v>
      </c>
      <c r="H63" s="12" t="s">
        <v>356</v>
      </c>
      <c r="I63" s="12" t="s">
        <v>144</v>
      </c>
      <c r="J63" s="8"/>
      <c r="K63" s="8"/>
      <c r="L63" s="8"/>
    </row>
    <row r="64">
      <c r="A64" s="12" t="s">
        <v>421</v>
      </c>
      <c r="B64" s="50" t="s">
        <v>111</v>
      </c>
      <c r="C64" s="12"/>
      <c r="F64" s="12" t="s">
        <v>369</v>
      </c>
      <c r="G64" s="12"/>
      <c r="H64" s="12" t="s">
        <v>415</v>
      </c>
      <c r="I64" s="12" t="s">
        <v>33</v>
      </c>
      <c r="J64" s="8"/>
      <c r="K64" s="8"/>
      <c r="L64" s="8"/>
    </row>
    <row r="65">
      <c r="A65" s="12" t="s">
        <v>422</v>
      </c>
      <c r="B65" s="50" t="s">
        <v>111</v>
      </c>
      <c r="F65" s="12" t="s">
        <v>416</v>
      </c>
      <c r="G65" s="12"/>
      <c r="H65" s="12"/>
      <c r="I65" s="12" t="s">
        <v>179</v>
      </c>
      <c r="J65" s="8"/>
      <c r="K65" s="8"/>
      <c r="L65" s="8"/>
    </row>
    <row r="66">
      <c r="A66" s="12" t="s">
        <v>423</v>
      </c>
      <c r="B66" s="50" t="s">
        <v>111</v>
      </c>
      <c r="F66" s="12" t="s">
        <v>419</v>
      </c>
      <c r="G66" s="12"/>
      <c r="H66" s="12"/>
      <c r="I66" s="12" t="s">
        <v>233</v>
      </c>
      <c r="J66" s="8"/>
      <c r="K66" s="8"/>
      <c r="L66" s="8"/>
    </row>
    <row r="67">
      <c r="A67" s="12" t="s">
        <v>354</v>
      </c>
      <c r="B67" s="50" t="s">
        <v>111</v>
      </c>
      <c r="F67" s="8"/>
      <c r="G67" s="8"/>
      <c r="H67" s="8"/>
      <c r="I67" s="12" t="s">
        <v>420</v>
      </c>
      <c r="J67" s="8"/>
      <c r="K67" s="8"/>
      <c r="L67" s="8"/>
    </row>
    <row r="68">
      <c r="A68" s="12" t="s">
        <v>240</v>
      </c>
      <c r="B68" s="50" t="s">
        <v>111</v>
      </c>
      <c r="C68" s="12"/>
      <c r="F68" s="8"/>
      <c r="G68" s="8"/>
      <c r="H68" s="8"/>
      <c r="I68" s="12"/>
      <c r="J68" s="8"/>
      <c r="K68" s="8"/>
      <c r="L68" s="8"/>
    </row>
    <row r="69">
      <c r="A69" s="12" t="s">
        <v>175</v>
      </c>
      <c r="B69" s="50" t="s">
        <v>111</v>
      </c>
      <c r="C69" s="12"/>
      <c r="F69" s="8"/>
      <c r="G69" s="8"/>
      <c r="H69" s="8"/>
      <c r="I69" s="8"/>
      <c r="J69" s="8"/>
      <c r="K69" s="8"/>
      <c r="L69" s="8"/>
    </row>
    <row r="70">
      <c r="A70" s="12" t="s">
        <v>147</v>
      </c>
      <c r="B70" s="50" t="s">
        <v>111</v>
      </c>
      <c r="C70" s="12"/>
      <c r="F70" s="8"/>
      <c r="G70" s="8"/>
      <c r="H70" s="8"/>
      <c r="I70" s="8"/>
      <c r="J70" s="8"/>
      <c r="K70" s="8"/>
      <c r="L70" s="8"/>
    </row>
    <row r="71">
      <c r="A71" s="12" t="s">
        <v>244</v>
      </c>
      <c r="B71" s="50" t="s">
        <v>197</v>
      </c>
      <c r="C71" s="12"/>
      <c r="F71" s="8"/>
      <c r="G71" s="8"/>
      <c r="H71" s="8"/>
      <c r="I71" s="8"/>
      <c r="J71" s="8"/>
      <c r="K71" s="8"/>
      <c r="L71" s="8"/>
    </row>
    <row r="72">
      <c r="A72" s="12" t="s">
        <v>269</v>
      </c>
      <c r="B72" s="50" t="s">
        <v>197</v>
      </c>
      <c r="C72" s="12"/>
      <c r="F72" s="8"/>
      <c r="G72" s="8"/>
      <c r="H72" s="8"/>
      <c r="I72" s="8"/>
      <c r="J72" s="8"/>
      <c r="K72" s="8"/>
      <c r="L72" s="8"/>
    </row>
    <row r="73">
      <c r="A73" s="12" t="s">
        <v>424</v>
      </c>
      <c r="B73" s="50" t="s">
        <v>127</v>
      </c>
      <c r="C73" s="12"/>
      <c r="F73" s="8"/>
      <c r="G73" s="8"/>
      <c r="H73" s="8"/>
      <c r="I73" s="8"/>
      <c r="J73" s="8"/>
      <c r="K73" s="8"/>
      <c r="L73" s="8"/>
    </row>
    <row r="74">
      <c r="A74" s="12" t="s">
        <v>97</v>
      </c>
      <c r="B74" s="50" t="s">
        <v>127</v>
      </c>
      <c r="C74" s="12"/>
      <c r="F74" s="8"/>
      <c r="G74" s="8"/>
      <c r="H74" s="8"/>
      <c r="I74" s="8"/>
      <c r="J74" s="8"/>
      <c r="K74" s="8"/>
      <c r="L74" s="8"/>
    </row>
    <row r="75">
      <c r="A75" s="12" t="s">
        <v>425</v>
      </c>
      <c r="B75" s="50" t="s">
        <v>127</v>
      </c>
      <c r="C75" s="12"/>
      <c r="F75" s="8"/>
      <c r="G75" s="8"/>
      <c r="H75" s="8"/>
      <c r="I75" s="8"/>
      <c r="J75" s="8"/>
      <c r="K75" s="8"/>
      <c r="L75" s="8"/>
    </row>
    <row r="76">
      <c r="A76" s="12" t="s">
        <v>426</v>
      </c>
      <c r="B76" s="50" t="s">
        <v>427</v>
      </c>
      <c r="C76" s="12"/>
      <c r="F76" s="8"/>
      <c r="G76" s="8"/>
      <c r="H76" s="8"/>
      <c r="I76" s="8"/>
      <c r="J76" s="8"/>
      <c r="K76" s="8"/>
      <c r="L76" s="8"/>
    </row>
    <row r="77">
      <c r="A77" s="12" t="s">
        <v>428</v>
      </c>
      <c r="B77" s="50" t="s">
        <v>203</v>
      </c>
      <c r="C77" s="12"/>
      <c r="F77" s="8"/>
      <c r="G77" s="8"/>
      <c r="H77" s="8"/>
      <c r="I77" s="8"/>
      <c r="J77" s="8"/>
      <c r="K77" s="8"/>
      <c r="L77" s="8"/>
    </row>
    <row r="78">
      <c r="A78" s="12" t="s">
        <v>279</v>
      </c>
      <c r="B78" s="50" t="s">
        <v>136</v>
      </c>
      <c r="C78" s="12"/>
      <c r="F78" s="8"/>
      <c r="G78" s="8"/>
      <c r="H78" s="8"/>
      <c r="I78" s="8"/>
      <c r="J78" s="8"/>
      <c r="K78" s="8"/>
      <c r="L78" s="8"/>
    </row>
    <row r="79">
      <c r="A79" s="12" t="s">
        <v>373</v>
      </c>
      <c r="B79" s="50" t="s">
        <v>210</v>
      </c>
      <c r="C79" s="12"/>
      <c r="F79" s="8"/>
      <c r="G79" s="8"/>
      <c r="H79" s="8"/>
      <c r="I79" s="8"/>
      <c r="J79" s="8"/>
      <c r="K79" s="8"/>
      <c r="L79" s="8"/>
    </row>
    <row r="80">
      <c r="A80" s="12" t="s">
        <v>429</v>
      </c>
      <c r="B80" s="50" t="s">
        <v>210</v>
      </c>
      <c r="C80" s="12"/>
      <c r="F80" s="8"/>
      <c r="G80" s="8"/>
      <c r="H80" s="8"/>
      <c r="I80" s="8"/>
      <c r="J80" s="8"/>
      <c r="K80" s="8"/>
      <c r="L80" s="8"/>
    </row>
    <row r="81">
      <c r="A81" s="12" t="s">
        <v>430</v>
      </c>
      <c r="B81" s="50" t="s">
        <v>210</v>
      </c>
      <c r="C81" s="12"/>
      <c r="F81" s="8"/>
      <c r="G81" s="8"/>
      <c r="H81" s="8"/>
      <c r="I81" s="8"/>
      <c r="J81" s="8"/>
      <c r="K81" s="8"/>
      <c r="L81" s="8"/>
    </row>
    <row r="82">
      <c r="A82" s="12" t="s">
        <v>332</v>
      </c>
      <c r="B82" s="50" t="s">
        <v>210</v>
      </c>
      <c r="C82" s="12"/>
      <c r="F82" s="8"/>
      <c r="G82" s="8"/>
      <c r="H82" s="8"/>
      <c r="I82" s="8"/>
      <c r="J82" s="8"/>
      <c r="K82" s="8"/>
      <c r="L82" s="8"/>
    </row>
    <row r="83">
      <c r="A83" s="12" t="s">
        <v>431</v>
      </c>
      <c r="B83" s="50" t="s">
        <v>142</v>
      </c>
      <c r="C83" s="12"/>
      <c r="F83" s="8"/>
      <c r="G83" s="8"/>
      <c r="H83" s="8"/>
      <c r="I83" s="8"/>
      <c r="J83" s="8"/>
      <c r="K83" s="8"/>
      <c r="L83" s="8"/>
    </row>
    <row r="84">
      <c r="A84" s="12" t="s">
        <v>287</v>
      </c>
      <c r="B84" s="50" t="s">
        <v>142</v>
      </c>
      <c r="C84" s="12"/>
      <c r="F84" s="8"/>
      <c r="G84" s="8"/>
      <c r="H84" s="8"/>
      <c r="I84" s="8"/>
      <c r="J84" s="8"/>
      <c r="K84" s="8"/>
      <c r="L84" s="8"/>
    </row>
    <row r="85">
      <c r="A85" s="12" t="s">
        <v>159</v>
      </c>
      <c r="B85" s="50" t="s">
        <v>142</v>
      </c>
      <c r="C85" s="12"/>
      <c r="F85" s="8"/>
      <c r="G85" s="8"/>
      <c r="H85" s="8"/>
      <c r="I85" s="8"/>
      <c r="J85" s="8"/>
      <c r="K85" s="8"/>
      <c r="L85" s="8"/>
    </row>
    <row r="86">
      <c r="A86" s="12" t="s">
        <v>432</v>
      </c>
      <c r="B86" s="50" t="s">
        <v>142</v>
      </c>
      <c r="C86" s="12"/>
      <c r="F86" s="8"/>
      <c r="G86" s="8"/>
      <c r="H86" s="8"/>
      <c r="I86" s="8"/>
      <c r="J86" s="8"/>
      <c r="K86" s="8"/>
      <c r="L86" s="8"/>
    </row>
    <row r="87">
      <c r="A87" s="12" t="s">
        <v>433</v>
      </c>
      <c r="B87" s="50" t="s">
        <v>142</v>
      </c>
      <c r="C87" s="12"/>
      <c r="F87" s="8"/>
      <c r="G87" s="8"/>
      <c r="H87" s="8"/>
      <c r="I87" s="8"/>
      <c r="J87" s="8"/>
      <c r="K87" s="8"/>
      <c r="L87" s="8"/>
    </row>
    <row r="88">
      <c r="A88" s="12" t="s">
        <v>154</v>
      </c>
      <c r="B88" s="50" t="s">
        <v>142</v>
      </c>
      <c r="C88" s="12"/>
      <c r="F88" s="8"/>
      <c r="G88" s="8"/>
      <c r="H88" s="8"/>
      <c r="I88" s="8"/>
      <c r="J88" s="8"/>
      <c r="K88" s="8"/>
      <c r="L88" s="8"/>
    </row>
    <row r="89">
      <c r="A89" s="12" t="s">
        <v>434</v>
      </c>
      <c r="B89" s="50" t="s">
        <v>250</v>
      </c>
      <c r="C89" s="12"/>
      <c r="F89" s="8"/>
      <c r="G89" s="8"/>
      <c r="H89" s="8"/>
      <c r="I89" s="8"/>
      <c r="J89" s="8"/>
      <c r="K89" s="8"/>
      <c r="L89" s="8"/>
    </row>
    <row r="90">
      <c r="A90" s="12" t="s">
        <v>124</v>
      </c>
      <c r="B90" s="50" t="s">
        <v>149</v>
      </c>
      <c r="C90" s="12"/>
      <c r="F90" s="8"/>
      <c r="G90" s="8"/>
      <c r="H90" s="8"/>
      <c r="I90" s="8"/>
      <c r="J90" s="8"/>
      <c r="K90" s="8"/>
      <c r="L90" s="8"/>
    </row>
    <row r="91">
      <c r="A91" s="12" t="s">
        <v>224</v>
      </c>
      <c r="B91" s="50" t="s">
        <v>149</v>
      </c>
      <c r="C91" s="12"/>
      <c r="F91" s="8"/>
      <c r="G91" s="8"/>
      <c r="H91" s="8"/>
      <c r="I91" s="8"/>
      <c r="J91" s="8"/>
      <c r="K91" s="8"/>
      <c r="L91" s="8"/>
    </row>
    <row r="92">
      <c r="A92" s="12" t="s">
        <v>326</v>
      </c>
      <c r="B92" s="50" t="s">
        <v>149</v>
      </c>
      <c r="C92" s="12"/>
      <c r="F92" s="8"/>
      <c r="G92" s="8"/>
      <c r="H92" s="8"/>
      <c r="I92" s="8"/>
      <c r="J92" s="8"/>
      <c r="K92" s="8"/>
      <c r="L92" s="8"/>
    </row>
    <row r="93">
      <c r="A93" s="12" t="s">
        <v>77</v>
      </c>
      <c r="B93" s="50" t="s">
        <v>149</v>
      </c>
      <c r="C93" s="12"/>
      <c r="F93" s="8"/>
      <c r="G93" s="8"/>
      <c r="H93" s="8"/>
      <c r="I93" s="8"/>
      <c r="J93" s="8"/>
      <c r="K93" s="8"/>
      <c r="L93" s="8"/>
    </row>
    <row r="94">
      <c r="A94" s="12" t="s">
        <v>435</v>
      </c>
      <c r="B94" s="50" t="s">
        <v>151</v>
      </c>
      <c r="C94" s="12"/>
      <c r="F94" s="8"/>
      <c r="G94" s="8"/>
      <c r="H94" s="8"/>
      <c r="I94" s="8"/>
      <c r="J94" s="8"/>
      <c r="K94" s="8"/>
      <c r="L94" s="8"/>
    </row>
    <row r="95">
      <c r="A95" s="12" t="s">
        <v>150</v>
      </c>
      <c r="B95" s="50" t="s">
        <v>151</v>
      </c>
      <c r="C95" s="12"/>
      <c r="F95" s="8"/>
      <c r="G95" s="8"/>
      <c r="H95" s="8"/>
      <c r="I95" s="8"/>
      <c r="J95" s="8"/>
      <c r="K95" s="8"/>
      <c r="L95" s="8"/>
    </row>
    <row r="96">
      <c r="A96" s="12" t="s">
        <v>436</v>
      </c>
      <c r="B96" s="50" t="s">
        <v>151</v>
      </c>
      <c r="C96" s="12"/>
      <c r="F96" s="8"/>
      <c r="G96" s="8"/>
      <c r="H96" s="8"/>
      <c r="I96" s="8"/>
      <c r="J96" s="8"/>
      <c r="K96" s="8"/>
      <c r="L96" s="8"/>
    </row>
    <row r="97">
      <c r="A97" s="12" t="s">
        <v>437</v>
      </c>
      <c r="B97" s="50" t="s">
        <v>151</v>
      </c>
      <c r="C97" s="12"/>
      <c r="F97" s="8"/>
      <c r="G97" s="8"/>
      <c r="H97" s="8"/>
      <c r="I97" s="8"/>
      <c r="J97" s="8"/>
      <c r="K97" s="8"/>
      <c r="L97" s="8"/>
    </row>
    <row r="98">
      <c r="A98" s="12" t="s">
        <v>438</v>
      </c>
      <c r="B98" s="50" t="s">
        <v>151</v>
      </c>
      <c r="C98" s="12"/>
      <c r="F98" s="8"/>
      <c r="G98" s="8"/>
      <c r="H98" s="8"/>
      <c r="I98" s="8"/>
      <c r="J98" s="8"/>
      <c r="K98" s="8"/>
      <c r="L98" s="8"/>
    </row>
    <row r="99">
      <c r="A99" s="12" t="s">
        <v>162</v>
      </c>
      <c r="B99" s="50" t="s">
        <v>151</v>
      </c>
      <c r="C99" s="12"/>
      <c r="F99" s="8"/>
      <c r="G99" s="8"/>
      <c r="H99" s="8"/>
      <c r="I99" s="8"/>
      <c r="J99" s="8"/>
      <c r="K99" s="8"/>
      <c r="L99" s="8"/>
    </row>
    <row r="100">
      <c r="A100" s="12" t="s">
        <v>296</v>
      </c>
      <c r="B100" s="50" t="s">
        <v>151</v>
      </c>
      <c r="C100" s="12"/>
      <c r="F100" s="8"/>
      <c r="G100" s="8"/>
      <c r="H100" s="8"/>
      <c r="I100" s="8"/>
      <c r="J100" s="8"/>
      <c r="K100" s="8"/>
      <c r="L100" s="8"/>
    </row>
    <row r="101">
      <c r="A101" s="12" t="s">
        <v>439</v>
      </c>
      <c r="B101" s="50" t="s">
        <v>151</v>
      </c>
      <c r="C101" s="12"/>
      <c r="F101" s="8"/>
      <c r="G101" s="8"/>
      <c r="H101" s="8"/>
      <c r="I101" s="8"/>
      <c r="J101" s="8"/>
      <c r="K101" s="8"/>
      <c r="L101" s="8"/>
    </row>
    <row r="102">
      <c r="A102" s="12" t="s">
        <v>295</v>
      </c>
      <c r="B102" s="50" t="s">
        <v>440</v>
      </c>
      <c r="C102" s="12"/>
      <c r="F102" s="8"/>
      <c r="G102" s="8"/>
      <c r="H102" s="8"/>
      <c r="I102" s="8"/>
      <c r="J102" s="8"/>
      <c r="K102" s="8"/>
      <c r="L102" s="8"/>
    </row>
    <row r="103">
      <c r="A103" s="12" t="s">
        <v>379</v>
      </c>
      <c r="B103" s="50">
        <v>36526.0</v>
      </c>
      <c r="C103" s="12"/>
      <c r="F103" s="8"/>
      <c r="G103" s="8"/>
      <c r="H103" s="8"/>
      <c r="I103" s="8"/>
      <c r="J103" s="8"/>
      <c r="K103" s="8"/>
      <c r="L103" s="8"/>
    </row>
    <row r="104">
      <c r="A104" s="12" t="s">
        <v>155</v>
      </c>
      <c r="B104" s="50">
        <v>36526.0</v>
      </c>
      <c r="C104" s="12"/>
      <c r="F104" s="8"/>
      <c r="G104" s="8"/>
      <c r="H104" s="8"/>
      <c r="I104" s="8"/>
      <c r="J104" s="8"/>
      <c r="K104" s="8"/>
      <c r="L104" s="8"/>
    </row>
    <row r="105">
      <c r="A105" s="12"/>
      <c r="B105" s="46"/>
      <c r="C105" s="12"/>
      <c r="F105" s="8"/>
      <c r="G105" s="8"/>
      <c r="H105" s="8"/>
      <c r="I105" s="8"/>
      <c r="J105" s="8"/>
      <c r="K105" s="8"/>
      <c r="L105" s="8"/>
    </row>
    <row r="106">
      <c r="A106" s="53" t="s">
        <v>297</v>
      </c>
      <c r="B106" s="46"/>
      <c r="C106" s="12"/>
      <c r="F106" s="8"/>
      <c r="G106" s="8"/>
      <c r="H106" s="8"/>
      <c r="I106" s="8"/>
      <c r="J106" s="8"/>
      <c r="K106" s="8"/>
      <c r="L106" s="8"/>
    </row>
    <row r="107">
      <c r="A107" s="54" t="s">
        <v>441</v>
      </c>
      <c r="B107" s="46"/>
      <c r="C107" s="12"/>
      <c r="F107" s="8"/>
      <c r="G107" s="8"/>
      <c r="H107" s="8"/>
      <c r="I107" s="8"/>
      <c r="J107" s="8"/>
      <c r="K107" s="8"/>
      <c r="L107" s="8"/>
    </row>
    <row r="108">
      <c r="A108" s="12"/>
      <c r="B108" s="46"/>
      <c r="C108" s="12"/>
      <c r="F108" s="8"/>
      <c r="G108" s="8"/>
      <c r="H108" s="8"/>
      <c r="I108" s="8"/>
      <c r="J108" s="8"/>
      <c r="K108" s="8"/>
      <c r="L108" s="8"/>
    </row>
    <row r="109">
      <c r="A109" s="12"/>
      <c r="B109" s="46"/>
      <c r="C109" s="12"/>
      <c r="F109" s="8"/>
      <c r="G109" s="8"/>
      <c r="H109" s="8"/>
      <c r="I109" s="8"/>
      <c r="J109" s="8"/>
      <c r="K109" s="8"/>
      <c r="L109" s="8"/>
    </row>
    <row r="110">
      <c r="A110" s="12"/>
      <c r="B110" s="46"/>
      <c r="C110" s="12"/>
      <c r="F110" s="8"/>
      <c r="G110" s="8"/>
      <c r="H110" s="8"/>
      <c r="I110" s="8"/>
      <c r="J110" s="8"/>
      <c r="K110" s="8"/>
      <c r="L110" s="8"/>
    </row>
  </sheetData>
  <mergeCells count="5">
    <mergeCell ref="A1:L1"/>
    <mergeCell ref="A2:L2"/>
    <mergeCell ref="A3:L3"/>
    <mergeCell ref="A4:L4"/>
    <mergeCell ref="J22:K22"/>
  </mergeCells>
  <conditionalFormatting sqref="H15:H36">
    <cfRule type="cellIs" dxfId="0" priority="1" operator="equal">
      <formula>"No"</formula>
    </cfRule>
  </conditionalFormatting>
  <conditionalFormatting sqref="H15:H36">
    <cfRule type="cellIs" dxfId="1" priority="2" operator="equal">
      <formula>"Yes"</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6" max="6" width="16.75"/>
    <col customWidth="1" min="7" max="7" width="15.25"/>
    <col customWidth="1" min="8" max="8" width="16.75"/>
    <col customWidth="1" min="9" max="9" width="13.88"/>
    <col customWidth="1" min="10" max="10" width="15.63"/>
    <col customWidth="1" min="11" max="11" width="17.75"/>
  </cols>
  <sheetData>
    <row r="1">
      <c r="A1" s="1" t="s">
        <v>442</v>
      </c>
    </row>
    <row r="2">
      <c r="A2" s="2" t="s">
        <v>443</v>
      </c>
    </row>
    <row r="3">
      <c r="A3" s="3" t="s">
        <v>444</v>
      </c>
    </row>
    <row r="4">
      <c r="A4" s="3" t="s">
        <v>445</v>
      </c>
    </row>
    <row r="5">
      <c r="A5" s="4"/>
      <c r="B5" s="4"/>
      <c r="C5" s="4"/>
      <c r="D5" s="4"/>
      <c r="E5" s="4"/>
      <c r="F5" s="4"/>
      <c r="G5" s="4"/>
      <c r="H5" s="4"/>
      <c r="I5" s="4"/>
      <c r="J5" s="5"/>
      <c r="K5" s="5"/>
      <c r="L5" s="5"/>
    </row>
    <row r="6">
      <c r="A6" s="6" t="s">
        <v>4</v>
      </c>
    </row>
    <row r="7">
      <c r="A7" s="7" t="s">
        <v>446</v>
      </c>
      <c r="B7" s="7"/>
      <c r="C7" s="7"/>
      <c r="D7" s="7"/>
      <c r="E7" s="7"/>
      <c r="F7" s="7"/>
      <c r="G7" s="7"/>
      <c r="H7" s="7"/>
      <c r="I7" s="7"/>
      <c r="J7" s="7"/>
      <c r="K7" s="7"/>
      <c r="L7" s="7"/>
    </row>
    <row r="8">
      <c r="A8" s="8" t="s">
        <v>6</v>
      </c>
    </row>
    <row r="9">
      <c r="A9" s="8" t="s">
        <v>7</v>
      </c>
    </row>
    <row r="10">
      <c r="A10" s="8" t="s">
        <v>447</v>
      </c>
    </row>
    <row r="11">
      <c r="A11" s="8" t="s">
        <v>8</v>
      </c>
    </row>
    <row r="12">
      <c r="A12" s="8" t="s">
        <v>9</v>
      </c>
    </row>
    <row r="15">
      <c r="A15" s="9" t="s">
        <v>10</v>
      </c>
      <c r="B15" s="10" t="s">
        <v>11</v>
      </c>
      <c r="C15" s="10" t="s">
        <v>12</v>
      </c>
      <c r="D15" s="10" t="s">
        <v>13</v>
      </c>
      <c r="F15" s="11" t="s">
        <v>14</v>
      </c>
      <c r="G15" s="11" t="s">
        <v>15</v>
      </c>
      <c r="H15" s="11" t="s">
        <v>16</v>
      </c>
      <c r="J15" s="11" t="s">
        <v>17</v>
      </c>
      <c r="K15" s="11" t="s">
        <v>18</v>
      </c>
      <c r="L15" s="11" t="s">
        <v>19</v>
      </c>
    </row>
    <row r="16">
      <c r="A16" s="68" t="s">
        <v>123</v>
      </c>
      <c r="B16" s="69">
        <v>43405.0</v>
      </c>
      <c r="C16" s="14" t="s">
        <v>448</v>
      </c>
      <c r="D16" s="15">
        <v>111.0</v>
      </c>
      <c r="F16" s="16" t="s">
        <v>385</v>
      </c>
      <c r="G16" s="70">
        <v>0.0</v>
      </c>
      <c r="H16" s="8" t="s">
        <v>22</v>
      </c>
      <c r="J16" s="8" t="s">
        <v>23</v>
      </c>
      <c r="K16" s="19">
        <v>0.45</v>
      </c>
      <c r="L16" s="8">
        <f t="shared" ref="L16:L20" si="1">K16*$D$67</f>
        <v>619.65</v>
      </c>
    </row>
    <row r="17">
      <c r="A17" s="68" t="s">
        <v>67</v>
      </c>
      <c r="B17" s="71" t="s">
        <v>169</v>
      </c>
      <c r="C17" s="23" t="s">
        <v>41</v>
      </c>
      <c r="D17" s="24">
        <v>110.0</v>
      </c>
      <c r="F17" s="16" t="s">
        <v>388</v>
      </c>
      <c r="G17" s="70">
        <v>0.0</v>
      </c>
      <c r="H17" s="8" t="s">
        <v>22</v>
      </c>
      <c r="I17" s="8"/>
      <c r="J17" s="8" t="s">
        <v>26</v>
      </c>
      <c r="K17" s="19">
        <v>0.25</v>
      </c>
      <c r="L17" s="8">
        <f t="shared" si="1"/>
        <v>344.25</v>
      </c>
    </row>
    <row r="18">
      <c r="A18" s="68" t="s">
        <v>27</v>
      </c>
      <c r="B18" s="71" t="s">
        <v>169</v>
      </c>
      <c r="C18" s="23" t="s">
        <v>51</v>
      </c>
      <c r="D18" s="24">
        <v>99.0</v>
      </c>
      <c r="F18" s="16" t="s">
        <v>389</v>
      </c>
      <c r="G18" s="70">
        <v>0.0</v>
      </c>
      <c r="H18" s="8" t="s">
        <v>22</v>
      </c>
      <c r="I18" s="8"/>
      <c r="J18" s="8" t="s">
        <v>29</v>
      </c>
      <c r="K18" s="19">
        <v>0.15</v>
      </c>
      <c r="L18" s="8">
        <f t="shared" si="1"/>
        <v>206.55</v>
      </c>
    </row>
    <row r="19">
      <c r="A19" s="68" t="s">
        <v>82</v>
      </c>
      <c r="B19" s="71" t="s">
        <v>302</v>
      </c>
      <c r="C19" s="23" t="s">
        <v>449</v>
      </c>
      <c r="D19" s="24">
        <v>52.0</v>
      </c>
      <c r="E19" s="8"/>
      <c r="F19" s="16" t="s">
        <v>390</v>
      </c>
      <c r="G19" s="70">
        <v>142.0</v>
      </c>
      <c r="H19" s="8" t="s">
        <v>450</v>
      </c>
      <c r="I19" s="8"/>
      <c r="J19" s="8" t="s">
        <v>32</v>
      </c>
      <c r="K19" s="19">
        <v>0.1</v>
      </c>
      <c r="L19" s="8">
        <f t="shared" si="1"/>
        <v>137.7</v>
      </c>
    </row>
    <row r="20">
      <c r="A20" s="68" t="s">
        <v>236</v>
      </c>
      <c r="B20" s="71" t="s">
        <v>34</v>
      </c>
      <c r="C20" s="23" t="s">
        <v>28</v>
      </c>
      <c r="D20" s="24">
        <v>55.0</v>
      </c>
      <c r="E20" s="8"/>
      <c r="F20" s="16" t="s">
        <v>392</v>
      </c>
      <c r="G20" s="70">
        <v>167.0</v>
      </c>
      <c r="H20" s="8" t="s">
        <v>450</v>
      </c>
      <c r="I20" s="8"/>
      <c r="J20" s="8" t="s">
        <v>36</v>
      </c>
      <c r="K20" s="19">
        <v>0.05</v>
      </c>
      <c r="L20" s="8">
        <f t="shared" si="1"/>
        <v>68.85</v>
      </c>
    </row>
    <row r="21">
      <c r="A21" s="68" t="s">
        <v>93</v>
      </c>
      <c r="B21" s="71" t="s">
        <v>260</v>
      </c>
      <c r="C21" s="23" t="s">
        <v>400</v>
      </c>
      <c r="D21" s="24">
        <v>56.0</v>
      </c>
      <c r="F21" s="16" t="s">
        <v>393</v>
      </c>
      <c r="G21" s="70">
        <v>144.0</v>
      </c>
      <c r="H21" s="8" t="s">
        <v>450</v>
      </c>
      <c r="I21" s="8"/>
      <c r="J21" s="8"/>
      <c r="K21" s="8"/>
      <c r="L21" s="8"/>
    </row>
    <row r="22">
      <c r="A22" s="68" t="s">
        <v>52</v>
      </c>
      <c r="B22" s="71" t="s">
        <v>260</v>
      </c>
      <c r="C22" s="23" t="s">
        <v>400</v>
      </c>
      <c r="D22" s="24">
        <v>59.0</v>
      </c>
      <c r="F22" s="16" t="s">
        <v>394</v>
      </c>
      <c r="G22" s="70">
        <v>50.0</v>
      </c>
      <c r="H22" s="8" t="s">
        <v>450</v>
      </c>
      <c r="I22" s="8"/>
      <c r="J22" s="8"/>
      <c r="K22" s="8"/>
      <c r="L22" s="8"/>
    </row>
    <row r="23">
      <c r="A23" s="68" t="s">
        <v>237</v>
      </c>
      <c r="B23" s="71" t="s">
        <v>260</v>
      </c>
      <c r="C23" s="23" t="s">
        <v>448</v>
      </c>
      <c r="D23" s="24">
        <v>75.0</v>
      </c>
      <c r="F23" s="16" t="s">
        <v>398</v>
      </c>
      <c r="G23" s="70">
        <v>35.0</v>
      </c>
      <c r="H23" s="8" t="s">
        <v>450</v>
      </c>
      <c r="I23" s="8"/>
      <c r="J23" s="26" t="s">
        <v>45</v>
      </c>
      <c r="K23" s="27"/>
      <c r="L23" s="8"/>
    </row>
    <row r="24">
      <c r="A24" s="68" t="s">
        <v>69</v>
      </c>
      <c r="B24" s="71" t="s">
        <v>40</v>
      </c>
      <c r="C24" s="23" t="s">
        <v>59</v>
      </c>
      <c r="D24" s="24">
        <v>30.0</v>
      </c>
      <c r="F24" s="16" t="s">
        <v>399</v>
      </c>
      <c r="G24" s="70">
        <v>70.0</v>
      </c>
      <c r="H24" s="8" t="s">
        <v>450</v>
      </c>
      <c r="I24" s="8"/>
      <c r="J24" s="66">
        <v>1.0</v>
      </c>
      <c r="K24" s="66" t="s">
        <v>69</v>
      </c>
      <c r="L24" s="72" t="s">
        <v>59</v>
      </c>
    </row>
    <row r="25">
      <c r="A25" s="68" t="s">
        <v>24</v>
      </c>
      <c r="B25" s="71" t="s">
        <v>43</v>
      </c>
      <c r="C25" s="23" t="s">
        <v>28</v>
      </c>
      <c r="D25" s="24">
        <v>40.0</v>
      </c>
      <c r="F25" s="16" t="s">
        <v>401</v>
      </c>
      <c r="G25" s="70">
        <v>157.0</v>
      </c>
      <c r="H25" s="8" t="s">
        <v>450</v>
      </c>
      <c r="I25" s="8"/>
      <c r="J25" s="73">
        <v>2.0</v>
      </c>
      <c r="K25" s="73" t="s">
        <v>46</v>
      </c>
      <c r="L25" s="74" t="s">
        <v>451</v>
      </c>
    </row>
    <row r="26">
      <c r="A26" s="68" t="s">
        <v>57</v>
      </c>
      <c r="B26" s="71" t="s">
        <v>261</v>
      </c>
      <c r="C26" s="23" t="s">
        <v>31</v>
      </c>
      <c r="D26" s="24">
        <v>34.0</v>
      </c>
      <c r="F26" s="16" t="s">
        <v>402</v>
      </c>
      <c r="G26" s="70">
        <v>61.0</v>
      </c>
      <c r="H26" s="8" t="s">
        <v>450</v>
      </c>
      <c r="J26" s="66">
        <v>3.0</v>
      </c>
      <c r="K26" s="66" t="s">
        <v>123</v>
      </c>
      <c r="L26" s="72" t="s">
        <v>448</v>
      </c>
    </row>
    <row r="27">
      <c r="A27" s="68" t="s">
        <v>186</v>
      </c>
      <c r="B27" s="71" t="s">
        <v>261</v>
      </c>
      <c r="C27" s="23" t="s">
        <v>41</v>
      </c>
      <c r="D27" s="24">
        <v>33.0</v>
      </c>
      <c r="F27" s="16" t="s">
        <v>452</v>
      </c>
      <c r="G27" s="70">
        <v>0.0</v>
      </c>
      <c r="H27" s="8" t="s">
        <v>22</v>
      </c>
      <c r="J27" s="73">
        <v>4.0</v>
      </c>
      <c r="K27" s="73" t="s">
        <v>60</v>
      </c>
      <c r="L27" s="74" t="s">
        <v>412</v>
      </c>
    </row>
    <row r="28">
      <c r="A28" s="68" t="s">
        <v>369</v>
      </c>
      <c r="B28" s="71" t="s">
        <v>55</v>
      </c>
      <c r="C28" s="23" t="s">
        <v>28</v>
      </c>
      <c r="D28" s="24">
        <v>27.0</v>
      </c>
      <c r="F28" s="16" t="s">
        <v>404</v>
      </c>
      <c r="G28" s="70">
        <v>174.0</v>
      </c>
      <c r="H28" s="8" t="s">
        <v>450</v>
      </c>
      <c r="I28" s="8"/>
      <c r="J28" s="66">
        <v>5.0</v>
      </c>
      <c r="K28" s="66" t="s">
        <v>180</v>
      </c>
      <c r="L28" s="72" t="s">
        <v>400</v>
      </c>
    </row>
    <row r="29">
      <c r="A29" s="68" t="s">
        <v>342</v>
      </c>
      <c r="B29" s="71" t="s">
        <v>58</v>
      </c>
      <c r="C29" s="23" t="s">
        <v>51</v>
      </c>
      <c r="D29" s="24">
        <v>26.0</v>
      </c>
      <c r="F29" s="16" t="s">
        <v>405</v>
      </c>
      <c r="G29" s="70">
        <v>0.0</v>
      </c>
      <c r="H29" s="8" t="s">
        <v>22</v>
      </c>
      <c r="I29" s="8"/>
      <c r="J29" s="75"/>
      <c r="K29" s="75"/>
      <c r="L29" s="76"/>
    </row>
    <row r="30">
      <c r="A30" s="68" t="s">
        <v>60</v>
      </c>
      <c r="B30" s="71" t="s">
        <v>58</v>
      </c>
      <c r="C30" s="23" t="s">
        <v>412</v>
      </c>
      <c r="D30" s="24">
        <v>28.0</v>
      </c>
      <c r="F30" s="16" t="s">
        <v>406</v>
      </c>
      <c r="G30" s="70">
        <v>42.0</v>
      </c>
      <c r="H30" s="8" t="s">
        <v>450</v>
      </c>
      <c r="I30" s="8"/>
      <c r="J30" s="75"/>
      <c r="K30" s="75"/>
      <c r="L30" s="76"/>
    </row>
    <row r="31">
      <c r="A31" s="68" t="s">
        <v>418</v>
      </c>
      <c r="B31" s="71" t="s">
        <v>176</v>
      </c>
      <c r="C31" s="23" t="s">
        <v>28</v>
      </c>
      <c r="D31" s="24">
        <v>21.0</v>
      </c>
      <c r="F31" s="16" t="s">
        <v>407</v>
      </c>
      <c r="G31" s="70">
        <v>0.0</v>
      </c>
      <c r="H31" s="8" t="s">
        <v>22</v>
      </c>
      <c r="I31" s="8"/>
      <c r="J31" s="73"/>
      <c r="K31" s="73"/>
      <c r="L31" s="77"/>
    </row>
    <row r="32">
      <c r="A32" s="68" t="s">
        <v>131</v>
      </c>
      <c r="B32" s="71" t="s">
        <v>176</v>
      </c>
      <c r="C32" s="23" t="s">
        <v>63</v>
      </c>
      <c r="D32" s="24">
        <v>33.0</v>
      </c>
      <c r="F32" s="16" t="s">
        <v>408</v>
      </c>
      <c r="G32" s="70">
        <v>63.0</v>
      </c>
      <c r="H32" s="8" t="s">
        <v>450</v>
      </c>
      <c r="I32" s="8"/>
      <c r="J32" s="8"/>
      <c r="K32" s="8"/>
      <c r="L32" s="8"/>
    </row>
    <row r="33">
      <c r="A33" s="68" t="s">
        <v>46</v>
      </c>
      <c r="B33" s="71" t="s">
        <v>176</v>
      </c>
      <c r="C33" s="23" t="s">
        <v>451</v>
      </c>
      <c r="D33" s="24">
        <v>35.0</v>
      </c>
      <c r="F33" s="16" t="s">
        <v>409</v>
      </c>
      <c r="G33" s="70">
        <v>218.0</v>
      </c>
      <c r="H33" s="8" t="s">
        <v>450</v>
      </c>
      <c r="I33" s="8"/>
      <c r="J33" s="8"/>
      <c r="K33" s="8"/>
      <c r="L33" s="8"/>
    </row>
    <row r="34">
      <c r="A34" s="68" t="s">
        <v>80</v>
      </c>
      <c r="B34" s="71" t="s">
        <v>72</v>
      </c>
      <c r="C34" s="23" t="s">
        <v>59</v>
      </c>
      <c r="D34" s="24">
        <v>25.0</v>
      </c>
      <c r="F34" s="16" t="s">
        <v>410</v>
      </c>
      <c r="G34" s="70">
        <v>49.0</v>
      </c>
      <c r="H34" s="8" t="s">
        <v>450</v>
      </c>
      <c r="I34" s="8"/>
      <c r="J34" s="8"/>
      <c r="K34" s="8"/>
      <c r="L34" s="8"/>
    </row>
    <row r="35">
      <c r="A35" s="68" t="s">
        <v>144</v>
      </c>
      <c r="B35" s="71" t="s">
        <v>72</v>
      </c>
      <c r="C35" s="23" t="s">
        <v>448</v>
      </c>
      <c r="D35" s="24">
        <v>32.0</v>
      </c>
      <c r="F35" s="16" t="s">
        <v>411</v>
      </c>
      <c r="G35" s="70">
        <v>5.0</v>
      </c>
      <c r="H35" s="8" t="s">
        <v>450</v>
      </c>
      <c r="I35" s="8"/>
      <c r="J35" s="8"/>
      <c r="K35" s="8"/>
      <c r="L35" s="8"/>
    </row>
    <row r="36">
      <c r="A36" s="68" t="s">
        <v>267</v>
      </c>
      <c r="B36" s="71" t="s">
        <v>72</v>
      </c>
      <c r="C36" s="23" t="s">
        <v>453</v>
      </c>
      <c r="D36" s="24">
        <v>20.0</v>
      </c>
      <c r="F36" s="34" t="s">
        <v>73</v>
      </c>
      <c r="G36" s="78">
        <f>sum(G16:G35)</f>
        <v>1377</v>
      </c>
      <c r="H36" s="8"/>
      <c r="I36" s="8"/>
      <c r="J36" s="8"/>
      <c r="K36" s="8"/>
      <c r="L36" s="8"/>
    </row>
    <row r="37">
      <c r="A37" s="68" t="s">
        <v>309</v>
      </c>
      <c r="B37" s="71" t="s">
        <v>72</v>
      </c>
      <c r="C37" s="23" t="s">
        <v>395</v>
      </c>
      <c r="D37" s="24">
        <v>36.0</v>
      </c>
      <c r="F37" s="8"/>
      <c r="G37" s="8"/>
      <c r="H37" s="8"/>
      <c r="I37" s="8"/>
      <c r="J37" s="8"/>
      <c r="K37" s="8"/>
      <c r="L37" s="8"/>
    </row>
    <row r="38">
      <c r="A38" s="68" t="s">
        <v>117</v>
      </c>
      <c r="B38" s="71" t="s">
        <v>75</v>
      </c>
      <c r="C38" s="23" t="s">
        <v>28</v>
      </c>
      <c r="D38" s="24">
        <v>17.0</v>
      </c>
      <c r="K38" s="8"/>
      <c r="L38" s="8"/>
    </row>
    <row r="39">
      <c r="A39" s="68" t="s">
        <v>310</v>
      </c>
      <c r="B39" s="71" t="s">
        <v>79</v>
      </c>
      <c r="C39" s="23" t="s">
        <v>449</v>
      </c>
      <c r="D39" s="24">
        <v>15.0</v>
      </c>
      <c r="F39" s="79" t="s">
        <v>388</v>
      </c>
      <c r="G39" s="79" t="s">
        <v>389</v>
      </c>
      <c r="H39" s="79" t="s">
        <v>390</v>
      </c>
      <c r="I39" s="79" t="s">
        <v>392</v>
      </c>
      <c r="J39" s="79" t="s">
        <v>393</v>
      </c>
      <c r="K39" s="79" t="s">
        <v>394</v>
      </c>
    </row>
    <row r="40">
      <c r="A40" s="68" t="s">
        <v>89</v>
      </c>
      <c r="B40" s="71" t="s">
        <v>79</v>
      </c>
      <c r="C40" s="23" t="s">
        <v>395</v>
      </c>
      <c r="D40" s="24">
        <v>12.0</v>
      </c>
      <c r="F40" s="12"/>
      <c r="G40" s="12"/>
      <c r="H40" s="12" t="s">
        <v>93</v>
      </c>
      <c r="I40" s="12" t="s">
        <v>454</v>
      </c>
      <c r="J40" s="12" t="s">
        <v>454</v>
      </c>
      <c r="K40" s="12" t="s">
        <v>60</v>
      </c>
      <c r="L40" s="8"/>
    </row>
    <row r="41">
      <c r="A41" s="68" t="s">
        <v>312</v>
      </c>
      <c r="B41" s="71" t="s">
        <v>81</v>
      </c>
      <c r="C41" s="23" t="s">
        <v>31</v>
      </c>
      <c r="D41" s="24">
        <v>9.0</v>
      </c>
      <c r="F41" s="12"/>
      <c r="G41" s="12"/>
      <c r="H41" s="12" t="s">
        <v>52</v>
      </c>
      <c r="I41" s="12" t="s">
        <v>455</v>
      </c>
      <c r="J41" s="12" t="s">
        <v>455</v>
      </c>
      <c r="K41" s="8" t="s">
        <v>148</v>
      </c>
      <c r="L41" s="8"/>
    </row>
    <row r="42">
      <c r="A42" s="68" t="s">
        <v>373</v>
      </c>
      <c r="B42" s="71" t="s">
        <v>266</v>
      </c>
      <c r="C42" s="23" t="s">
        <v>453</v>
      </c>
      <c r="D42" s="24">
        <v>15.0</v>
      </c>
      <c r="F42" s="12"/>
      <c r="G42" s="12"/>
      <c r="H42" s="12" t="s">
        <v>180</v>
      </c>
      <c r="I42" s="12" t="s">
        <v>369</v>
      </c>
      <c r="J42" s="12" t="s">
        <v>57</v>
      </c>
      <c r="K42" s="12" t="s">
        <v>244</v>
      </c>
      <c r="L42" s="8"/>
    </row>
    <row r="43">
      <c r="A43" s="68" t="s">
        <v>180</v>
      </c>
      <c r="B43" s="71" t="s">
        <v>266</v>
      </c>
      <c r="C43" s="23" t="s">
        <v>400</v>
      </c>
      <c r="D43" s="24">
        <v>27.0</v>
      </c>
      <c r="F43" s="12"/>
      <c r="G43" s="12"/>
      <c r="H43" s="12"/>
      <c r="I43" s="12" t="s">
        <v>418</v>
      </c>
      <c r="J43" s="12" t="s">
        <v>312</v>
      </c>
      <c r="K43" s="12"/>
      <c r="L43" s="8"/>
    </row>
    <row r="44">
      <c r="A44" s="68" t="s">
        <v>148</v>
      </c>
      <c r="B44" s="71" t="s">
        <v>181</v>
      </c>
      <c r="C44" s="23" t="s">
        <v>456</v>
      </c>
      <c r="D44" s="24">
        <v>15.0</v>
      </c>
      <c r="F44" s="12"/>
      <c r="G44" s="12"/>
      <c r="H44" s="12"/>
      <c r="I44" s="8" t="s">
        <v>117</v>
      </c>
      <c r="J44" s="8" t="s">
        <v>457</v>
      </c>
      <c r="K44" s="12"/>
      <c r="L44" s="8"/>
    </row>
    <row r="45">
      <c r="A45" s="68" t="s">
        <v>356</v>
      </c>
      <c r="B45" s="71" t="s">
        <v>181</v>
      </c>
      <c r="C45" s="23" t="s">
        <v>51</v>
      </c>
      <c r="D45" s="24">
        <v>28.0</v>
      </c>
      <c r="F45" s="60"/>
      <c r="I45" s="12" t="s">
        <v>415</v>
      </c>
      <c r="J45" s="12" t="s">
        <v>233</v>
      </c>
      <c r="K45" s="8"/>
      <c r="L45" s="8"/>
    </row>
    <row r="46">
      <c r="A46" s="68" t="s">
        <v>277</v>
      </c>
      <c r="B46" s="71" t="s">
        <v>92</v>
      </c>
      <c r="C46" s="23" t="s">
        <v>51</v>
      </c>
      <c r="D46" s="24">
        <v>10.0</v>
      </c>
      <c r="I46" s="8" t="s">
        <v>24</v>
      </c>
      <c r="L46" s="8"/>
    </row>
    <row r="47">
      <c r="A47" s="68" t="s">
        <v>33</v>
      </c>
      <c r="B47" s="71" t="s">
        <v>92</v>
      </c>
      <c r="C47" s="23" t="s">
        <v>395</v>
      </c>
      <c r="D47" s="24">
        <v>9.0</v>
      </c>
      <c r="F47" s="79" t="s">
        <v>398</v>
      </c>
      <c r="G47" s="79" t="s">
        <v>399</v>
      </c>
      <c r="H47" s="79" t="s">
        <v>401</v>
      </c>
      <c r="I47" s="79" t="s">
        <v>402</v>
      </c>
      <c r="J47" s="79" t="s">
        <v>452</v>
      </c>
      <c r="K47" s="79" t="s">
        <v>404</v>
      </c>
    </row>
    <row r="48">
      <c r="A48" s="68" t="s">
        <v>416</v>
      </c>
      <c r="B48" s="71" t="s">
        <v>95</v>
      </c>
      <c r="C48" s="23" t="s">
        <v>41</v>
      </c>
      <c r="D48" s="24">
        <v>11.0</v>
      </c>
      <c r="F48" s="12" t="s">
        <v>458</v>
      </c>
      <c r="G48" s="12" t="s">
        <v>82</v>
      </c>
      <c r="H48" s="12" t="s">
        <v>67</v>
      </c>
      <c r="I48" s="12" t="s">
        <v>454</v>
      </c>
      <c r="J48" s="12"/>
      <c r="K48" s="12" t="s">
        <v>27</v>
      </c>
      <c r="L48" s="8"/>
    </row>
    <row r="49">
      <c r="A49" s="68" t="s">
        <v>102</v>
      </c>
      <c r="B49" s="71" t="s">
        <v>95</v>
      </c>
      <c r="C49" s="23" t="s">
        <v>63</v>
      </c>
      <c r="D49" s="24">
        <v>7.0</v>
      </c>
      <c r="F49" s="12" t="s">
        <v>373</v>
      </c>
      <c r="G49" s="8" t="s">
        <v>310</v>
      </c>
      <c r="H49" s="12" t="s">
        <v>186</v>
      </c>
      <c r="I49" s="12" t="s">
        <v>309</v>
      </c>
      <c r="J49" s="12"/>
      <c r="K49" s="12" t="s">
        <v>30</v>
      </c>
      <c r="L49" s="8"/>
    </row>
    <row r="50">
      <c r="A50" s="80" t="s">
        <v>457</v>
      </c>
      <c r="B50" s="81" t="s">
        <v>95</v>
      </c>
      <c r="C50" s="23" t="s">
        <v>31</v>
      </c>
      <c r="D50" s="24">
        <v>6.0</v>
      </c>
      <c r="F50" s="12"/>
      <c r="G50" s="12" t="s">
        <v>100</v>
      </c>
      <c r="H50" s="12" t="s">
        <v>416</v>
      </c>
      <c r="I50" s="12" t="s">
        <v>89</v>
      </c>
      <c r="J50" s="12"/>
      <c r="K50" s="12" t="s">
        <v>356</v>
      </c>
      <c r="L50" s="8"/>
    </row>
    <row r="51">
      <c r="A51" s="80" t="s">
        <v>424</v>
      </c>
      <c r="B51" s="81" t="s">
        <v>108</v>
      </c>
      <c r="C51" s="82" t="s">
        <v>51</v>
      </c>
      <c r="D51" s="23">
        <v>7.0</v>
      </c>
      <c r="F51" s="12"/>
      <c r="G51" s="12"/>
      <c r="H51" s="12" t="s">
        <v>109</v>
      </c>
      <c r="I51" s="12" t="s">
        <v>459</v>
      </c>
      <c r="J51" s="12"/>
      <c r="K51" s="12" t="s">
        <v>277</v>
      </c>
      <c r="L51" s="8"/>
    </row>
    <row r="52">
      <c r="A52" s="80" t="s">
        <v>415</v>
      </c>
      <c r="B52" s="81" t="s">
        <v>108</v>
      </c>
      <c r="C52" s="23" t="s">
        <v>28</v>
      </c>
      <c r="D52" s="23">
        <v>7.0</v>
      </c>
      <c r="I52" s="8" t="s">
        <v>246</v>
      </c>
      <c r="K52" s="8" t="s">
        <v>424</v>
      </c>
      <c r="L52" s="8"/>
    </row>
    <row r="53">
      <c r="A53" s="80" t="s">
        <v>109</v>
      </c>
      <c r="B53" s="81" t="s">
        <v>108</v>
      </c>
      <c r="C53" s="23" t="s">
        <v>41</v>
      </c>
      <c r="D53" s="23">
        <v>3.0</v>
      </c>
      <c r="K53" s="8" t="s">
        <v>420</v>
      </c>
      <c r="L53" s="8"/>
    </row>
    <row r="54">
      <c r="A54" s="80" t="s">
        <v>460</v>
      </c>
      <c r="B54" s="81" t="s">
        <v>108</v>
      </c>
      <c r="C54" s="23" t="s">
        <v>59</v>
      </c>
      <c r="D54" s="23">
        <v>5.0</v>
      </c>
      <c r="F54" s="83" t="s">
        <v>406</v>
      </c>
      <c r="G54" s="79" t="s">
        <v>407</v>
      </c>
      <c r="H54" s="79" t="s">
        <v>408</v>
      </c>
      <c r="I54" s="79" t="s">
        <v>409</v>
      </c>
      <c r="J54" s="79" t="s">
        <v>410</v>
      </c>
      <c r="K54" s="79" t="s">
        <v>411</v>
      </c>
      <c r="L54" s="8"/>
    </row>
    <row r="55">
      <c r="A55" s="80" t="s">
        <v>179</v>
      </c>
      <c r="B55" s="81" t="s">
        <v>108</v>
      </c>
      <c r="C55" s="23" t="s">
        <v>461</v>
      </c>
      <c r="D55" s="23">
        <v>5.0</v>
      </c>
      <c r="F55" s="8" t="s">
        <v>46</v>
      </c>
      <c r="G55" s="8"/>
      <c r="H55" s="8" t="s">
        <v>69</v>
      </c>
      <c r="I55" s="8" t="s">
        <v>123</v>
      </c>
      <c r="J55" s="8" t="s">
        <v>131</v>
      </c>
      <c r="K55" s="8" t="s">
        <v>179</v>
      </c>
      <c r="L55" s="8"/>
    </row>
    <row r="56">
      <c r="A56" s="80" t="s">
        <v>244</v>
      </c>
      <c r="B56" s="81" t="s">
        <v>108</v>
      </c>
      <c r="C56" s="23" t="s">
        <v>412</v>
      </c>
      <c r="D56" s="23">
        <v>7.0</v>
      </c>
      <c r="F56" s="8" t="s">
        <v>147</v>
      </c>
      <c r="G56" s="8"/>
      <c r="H56" s="8" t="s">
        <v>80</v>
      </c>
      <c r="I56" s="8" t="s">
        <v>237</v>
      </c>
      <c r="J56" s="8" t="s">
        <v>102</v>
      </c>
      <c r="K56" s="8"/>
      <c r="L56" s="8"/>
    </row>
    <row r="57">
      <c r="A57" s="80" t="s">
        <v>100</v>
      </c>
      <c r="B57" s="81" t="s">
        <v>108</v>
      </c>
      <c r="C57" s="23" t="s">
        <v>449</v>
      </c>
      <c r="D57" s="23">
        <v>3.0</v>
      </c>
      <c r="G57" s="8"/>
      <c r="H57" s="8" t="s">
        <v>462</v>
      </c>
      <c r="I57" s="8" t="s">
        <v>144</v>
      </c>
      <c r="J57" s="8" t="s">
        <v>357</v>
      </c>
      <c r="K57" s="8"/>
      <c r="L57" s="8"/>
    </row>
    <row r="58">
      <c r="A58" s="80" t="s">
        <v>357</v>
      </c>
      <c r="B58" s="81" t="s">
        <v>108</v>
      </c>
      <c r="C58" s="23" t="s">
        <v>63</v>
      </c>
      <c r="D58" s="23">
        <v>4.0</v>
      </c>
      <c r="G58" s="8"/>
      <c r="H58" s="8" t="s">
        <v>87</v>
      </c>
      <c r="I58" s="8"/>
      <c r="J58" s="8" t="s">
        <v>428</v>
      </c>
      <c r="K58" s="8"/>
      <c r="L58" s="8"/>
    </row>
    <row r="59">
      <c r="A59" s="80" t="s">
        <v>246</v>
      </c>
      <c r="B59" s="81" t="s">
        <v>108</v>
      </c>
      <c r="C59" s="23" t="s">
        <v>395</v>
      </c>
      <c r="D59" s="23">
        <v>4.0</v>
      </c>
      <c r="G59" s="8"/>
      <c r="H59" s="8"/>
      <c r="I59" s="8"/>
      <c r="J59" s="8"/>
      <c r="K59" s="8"/>
      <c r="L59" s="8"/>
    </row>
    <row r="60">
      <c r="A60" s="80" t="s">
        <v>428</v>
      </c>
      <c r="B60" s="81" t="s">
        <v>108</v>
      </c>
      <c r="C60" s="23" t="s">
        <v>63</v>
      </c>
      <c r="D60" s="23">
        <v>5.0</v>
      </c>
      <c r="G60" s="8"/>
      <c r="H60" s="8"/>
      <c r="I60" s="8"/>
      <c r="J60" s="8"/>
      <c r="K60" s="8"/>
      <c r="L60" s="8"/>
    </row>
    <row r="61">
      <c r="A61" s="80" t="s">
        <v>233</v>
      </c>
      <c r="B61" s="81" t="s">
        <v>108</v>
      </c>
      <c r="C61" s="23" t="s">
        <v>31</v>
      </c>
      <c r="D61" s="23">
        <v>3.0</v>
      </c>
      <c r="G61" s="8"/>
      <c r="H61" s="8"/>
      <c r="I61" s="8"/>
      <c r="J61" s="8"/>
      <c r="K61" s="8"/>
      <c r="L61" s="8"/>
    </row>
    <row r="62">
      <c r="A62" s="80" t="s">
        <v>147</v>
      </c>
      <c r="B62" s="81" t="s">
        <v>108</v>
      </c>
      <c r="C62" s="23" t="s">
        <v>451</v>
      </c>
      <c r="D62" s="23">
        <v>7.0</v>
      </c>
      <c r="G62" s="8"/>
      <c r="H62" s="8"/>
      <c r="I62" s="8"/>
      <c r="J62" s="8"/>
      <c r="K62" s="8"/>
      <c r="L62" s="8"/>
    </row>
    <row r="63">
      <c r="A63" s="80" t="s">
        <v>463</v>
      </c>
      <c r="B63" s="81" t="s">
        <v>108</v>
      </c>
      <c r="C63" s="23" t="s">
        <v>51</v>
      </c>
      <c r="D63" s="23">
        <v>4.0</v>
      </c>
      <c r="G63" s="8"/>
      <c r="H63" s="8"/>
      <c r="I63" s="8"/>
      <c r="J63" s="8"/>
      <c r="K63" s="8"/>
      <c r="L63" s="8"/>
    </row>
    <row r="64">
      <c r="A64" s="80" t="s">
        <v>87</v>
      </c>
      <c r="B64" s="81" t="s">
        <v>108</v>
      </c>
      <c r="C64" s="23" t="s">
        <v>59</v>
      </c>
      <c r="D64" s="23">
        <v>3.0</v>
      </c>
      <c r="G64" s="8"/>
      <c r="H64" s="8"/>
      <c r="I64" s="8"/>
      <c r="J64" s="8"/>
      <c r="K64" s="8"/>
      <c r="L64" s="8"/>
    </row>
    <row r="65">
      <c r="A65" s="84" t="s">
        <v>103</v>
      </c>
      <c r="B65" s="85"/>
      <c r="C65" s="65" t="s">
        <v>31</v>
      </c>
      <c r="D65" s="65">
        <v>92.0</v>
      </c>
      <c r="G65" s="8"/>
      <c r="H65" s="8"/>
      <c r="I65" s="8"/>
      <c r="J65" s="8"/>
      <c r="K65" s="8"/>
      <c r="L65" s="8"/>
    </row>
    <row r="66">
      <c r="A66" s="86"/>
      <c r="B66" s="87"/>
      <c r="G66" s="8"/>
      <c r="H66" s="8"/>
      <c r="I66" s="8"/>
      <c r="J66" s="8"/>
      <c r="K66" s="8"/>
      <c r="L66" s="8"/>
    </row>
    <row r="67">
      <c r="A67" s="86"/>
      <c r="B67" s="87"/>
      <c r="D67" s="88">
        <f>sum(D16:D65)</f>
        <v>1377</v>
      </c>
      <c r="G67" s="8"/>
      <c r="H67" s="8"/>
      <c r="I67" s="8"/>
      <c r="J67" s="8"/>
      <c r="K67" s="8"/>
      <c r="L67" s="8"/>
    </row>
    <row r="68">
      <c r="A68" s="12"/>
      <c r="B68" s="46"/>
      <c r="C68" s="89" t="s">
        <v>106</v>
      </c>
      <c r="D68" s="90" t="str">
        <f>if(G36-D67=0,"No","Yes")</f>
        <v>No</v>
      </c>
      <c r="G68" s="8"/>
      <c r="H68" s="8"/>
      <c r="I68" s="8"/>
      <c r="J68" s="8"/>
      <c r="K68" s="8"/>
      <c r="L68" s="8"/>
    </row>
    <row r="69">
      <c r="A69" s="47" t="s">
        <v>105</v>
      </c>
      <c r="B69" s="47"/>
      <c r="G69" s="8"/>
      <c r="H69" s="8"/>
      <c r="I69" s="8"/>
      <c r="J69" s="8"/>
      <c r="K69" s="8"/>
      <c r="L69" s="8"/>
    </row>
    <row r="70">
      <c r="A70" s="86" t="s">
        <v>74</v>
      </c>
      <c r="B70" s="87" t="s">
        <v>313</v>
      </c>
      <c r="C70" s="12"/>
      <c r="F70" s="8"/>
      <c r="G70" s="8"/>
      <c r="H70" s="8"/>
      <c r="I70" s="8"/>
      <c r="J70" s="8"/>
      <c r="K70" s="8"/>
      <c r="L70" s="8"/>
    </row>
    <row r="71">
      <c r="A71" s="86" t="s">
        <v>464</v>
      </c>
      <c r="B71" s="87" t="s">
        <v>111</v>
      </c>
      <c r="C71" s="12"/>
      <c r="F71" s="8"/>
      <c r="G71" s="8"/>
      <c r="H71" s="8"/>
      <c r="I71" s="8"/>
      <c r="J71" s="8"/>
      <c r="K71" s="8"/>
      <c r="L71" s="8"/>
    </row>
    <row r="72">
      <c r="A72" s="86" t="s">
        <v>465</v>
      </c>
      <c r="B72" s="87" t="s">
        <v>111</v>
      </c>
      <c r="C72" s="12"/>
      <c r="F72" s="8"/>
      <c r="G72" s="8"/>
      <c r="H72" s="8"/>
      <c r="I72" s="8"/>
      <c r="J72" s="8"/>
      <c r="K72" s="8"/>
      <c r="L72" s="8"/>
    </row>
    <row r="73">
      <c r="A73" s="86" t="s">
        <v>283</v>
      </c>
      <c r="B73" s="87" t="s">
        <v>111</v>
      </c>
      <c r="C73" s="12"/>
      <c r="F73" s="8"/>
      <c r="G73" s="8"/>
      <c r="H73" s="8"/>
      <c r="I73" s="8"/>
      <c r="J73" s="8"/>
      <c r="K73" s="8"/>
      <c r="L73" s="8"/>
    </row>
    <row r="74">
      <c r="A74" s="86" t="s">
        <v>426</v>
      </c>
      <c r="B74" s="87" t="s">
        <v>111</v>
      </c>
      <c r="C74" s="12"/>
      <c r="F74" s="8"/>
      <c r="G74" s="8"/>
      <c r="H74" s="8"/>
      <c r="I74" s="8"/>
      <c r="J74" s="8"/>
      <c r="K74" s="8"/>
      <c r="L74" s="8"/>
    </row>
    <row r="75">
      <c r="A75" s="86" t="s">
        <v>466</v>
      </c>
      <c r="B75" s="87" t="s">
        <v>111</v>
      </c>
      <c r="C75" s="12"/>
      <c r="F75" s="8"/>
      <c r="G75" s="8"/>
      <c r="H75" s="8"/>
      <c r="I75" s="8"/>
      <c r="J75" s="8"/>
      <c r="K75" s="8"/>
      <c r="L75" s="8"/>
    </row>
    <row r="76">
      <c r="A76" s="86" t="s">
        <v>76</v>
      </c>
      <c r="B76" s="87" t="s">
        <v>111</v>
      </c>
      <c r="C76" s="12"/>
      <c r="F76" s="8"/>
      <c r="G76" s="8"/>
      <c r="H76" s="8"/>
      <c r="I76" s="8"/>
      <c r="J76" s="8"/>
      <c r="K76" s="8"/>
      <c r="L76" s="8"/>
    </row>
    <row r="77">
      <c r="A77" s="86" t="s">
        <v>241</v>
      </c>
      <c r="B77" s="87" t="s">
        <v>116</v>
      </c>
      <c r="C77" s="12"/>
      <c r="F77" s="8"/>
      <c r="G77" s="8"/>
      <c r="H77" s="8"/>
      <c r="I77" s="8"/>
      <c r="J77" s="8"/>
      <c r="K77" s="8"/>
      <c r="L77" s="8"/>
    </row>
    <row r="78">
      <c r="A78" s="86" t="s">
        <v>122</v>
      </c>
      <c r="B78" s="87" t="s">
        <v>359</v>
      </c>
      <c r="C78" s="12"/>
      <c r="F78" s="8"/>
      <c r="G78" s="8"/>
      <c r="H78" s="8"/>
      <c r="I78" s="8"/>
      <c r="J78" s="8"/>
      <c r="K78" s="8"/>
      <c r="L78" s="8"/>
    </row>
    <row r="79">
      <c r="A79" s="86" t="s">
        <v>240</v>
      </c>
      <c r="B79" s="87" t="s">
        <v>359</v>
      </c>
      <c r="C79" s="12"/>
      <c r="F79" s="8"/>
      <c r="G79" s="8"/>
      <c r="H79" s="8"/>
      <c r="I79" s="8"/>
      <c r="J79" s="8"/>
      <c r="K79" s="8"/>
      <c r="L79" s="8"/>
    </row>
    <row r="80">
      <c r="A80" s="86" t="s">
        <v>467</v>
      </c>
      <c r="B80" s="87" t="s">
        <v>197</v>
      </c>
      <c r="C80" s="12"/>
      <c r="F80" s="8"/>
      <c r="G80" s="8"/>
      <c r="H80" s="8"/>
      <c r="I80" s="8"/>
      <c r="J80" s="8"/>
      <c r="K80" s="8"/>
      <c r="L80" s="8"/>
    </row>
    <row r="81">
      <c r="A81" s="86" t="s">
        <v>425</v>
      </c>
      <c r="B81" s="87" t="s">
        <v>317</v>
      </c>
      <c r="C81" s="12"/>
      <c r="F81" s="8"/>
      <c r="G81" s="8"/>
      <c r="H81" s="8"/>
      <c r="I81" s="8"/>
      <c r="J81" s="8"/>
      <c r="K81" s="8"/>
      <c r="L81" s="8"/>
    </row>
    <row r="82">
      <c r="A82" s="86" t="s">
        <v>468</v>
      </c>
      <c r="B82" s="87" t="s">
        <v>127</v>
      </c>
      <c r="C82" s="12"/>
      <c r="F82" s="8"/>
      <c r="G82" s="8"/>
      <c r="H82" s="8"/>
      <c r="I82" s="8"/>
      <c r="J82" s="8"/>
      <c r="K82" s="8"/>
      <c r="L82" s="8"/>
    </row>
    <row r="83">
      <c r="A83" s="86" t="s">
        <v>469</v>
      </c>
      <c r="B83" s="87" t="s">
        <v>127</v>
      </c>
      <c r="C83" s="12"/>
      <c r="F83" s="8"/>
      <c r="G83" s="8"/>
      <c r="H83" s="8"/>
      <c r="I83" s="8"/>
      <c r="J83" s="8"/>
      <c r="K83" s="8"/>
      <c r="L83" s="8"/>
    </row>
    <row r="84">
      <c r="A84" s="86" t="s">
        <v>470</v>
      </c>
      <c r="B84" s="87" t="s">
        <v>127</v>
      </c>
      <c r="C84" s="12"/>
      <c r="F84" s="8"/>
      <c r="G84" s="8"/>
      <c r="H84" s="8"/>
      <c r="I84" s="8"/>
      <c r="J84" s="8"/>
      <c r="K84" s="8"/>
      <c r="L84" s="8"/>
    </row>
    <row r="85">
      <c r="A85" s="86" t="s">
        <v>471</v>
      </c>
      <c r="B85" s="87" t="s">
        <v>127</v>
      </c>
      <c r="C85" s="12"/>
      <c r="F85" s="8"/>
      <c r="G85" s="8"/>
      <c r="H85" s="8"/>
      <c r="I85" s="8"/>
      <c r="J85" s="8"/>
      <c r="K85" s="8"/>
      <c r="L85" s="8"/>
    </row>
    <row r="86">
      <c r="A86" s="86" t="s">
        <v>252</v>
      </c>
      <c r="B86" s="87" t="s">
        <v>127</v>
      </c>
      <c r="C86" s="12"/>
      <c r="F86" s="8"/>
      <c r="G86" s="8"/>
      <c r="H86" s="8"/>
      <c r="I86" s="8"/>
      <c r="J86" s="8"/>
      <c r="K86" s="8"/>
      <c r="L86" s="8"/>
    </row>
    <row r="87">
      <c r="A87" s="86" t="s">
        <v>419</v>
      </c>
      <c r="B87" s="87" t="s">
        <v>127</v>
      </c>
      <c r="C87" s="12"/>
      <c r="F87" s="8"/>
      <c r="G87" s="8"/>
      <c r="H87" s="8"/>
      <c r="I87" s="8"/>
      <c r="J87" s="8"/>
      <c r="K87" s="8"/>
      <c r="L87" s="8"/>
    </row>
    <row r="88">
      <c r="A88" s="86" t="s">
        <v>472</v>
      </c>
      <c r="B88" s="87" t="s">
        <v>127</v>
      </c>
      <c r="C88" s="12"/>
      <c r="F88" s="8"/>
      <c r="G88" s="8"/>
      <c r="H88" s="8"/>
      <c r="I88" s="8"/>
      <c r="J88" s="8"/>
      <c r="K88" s="8"/>
      <c r="L88" s="8"/>
    </row>
    <row r="89">
      <c r="A89" s="86" t="s">
        <v>473</v>
      </c>
      <c r="B89" s="87" t="s">
        <v>203</v>
      </c>
      <c r="C89" s="12"/>
      <c r="F89" s="8"/>
      <c r="G89" s="8"/>
      <c r="H89" s="8"/>
      <c r="I89" s="8"/>
      <c r="J89" s="8"/>
      <c r="K89" s="8"/>
      <c r="L89" s="8"/>
    </row>
    <row r="90">
      <c r="A90" s="86" t="s">
        <v>474</v>
      </c>
      <c r="B90" s="87" t="s">
        <v>203</v>
      </c>
      <c r="C90" s="12"/>
      <c r="F90" s="8"/>
      <c r="G90" s="8"/>
      <c r="H90" s="8"/>
      <c r="I90" s="8"/>
      <c r="J90" s="8"/>
      <c r="K90" s="8"/>
      <c r="L90" s="8"/>
    </row>
    <row r="91">
      <c r="A91" s="86" t="s">
        <v>372</v>
      </c>
      <c r="B91" s="87" t="s">
        <v>203</v>
      </c>
      <c r="C91" s="12"/>
      <c r="F91" s="8"/>
      <c r="G91" s="8"/>
      <c r="H91" s="8"/>
      <c r="I91" s="8"/>
      <c r="J91" s="8"/>
      <c r="K91" s="8"/>
      <c r="L91" s="8"/>
    </row>
    <row r="92">
      <c r="A92" s="86" t="s">
        <v>475</v>
      </c>
      <c r="B92" s="87" t="s">
        <v>203</v>
      </c>
      <c r="C92" s="12"/>
      <c r="F92" s="8"/>
      <c r="G92" s="8"/>
      <c r="H92" s="8"/>
      <c r="I92" s="8"/>
      <c r="J92" s="8"/>
      <c r="K92" s="8"/>
      <c r="L92" s="8"/>
    </row>
    <row r="93">
      <c r="A93" s="86" t="s">
        <v>71</v>
      </c>
      <c r="B93" s="87" t="s">
        <v>203</v>
      </c>
      <c r="C93" s="12"/>
      <c r="F93" s="8"/>
      <c r="G93" s="8"/>
      <c r="H93" s="8"/>
      <c r="I93" s="8"/>
      <c r="J93" s="8"/>
      <c r="K93" s="8"/>
      <c r="L93" s="8"/>
    </row>
    <row r="94">
      <c r="A94" s="86" t="s">
        <v>174</v>
      </c>
      <c r="B94" s="87" t="s">
        <v>203</v>
      </c>
      <c r="C94" s="12"/>
      <c r="F94" s="8"/>
      <c r="G94" s="8"/>
      <c r="H94" s="8"/>
      <c r="I94" s="8"/>
      <c r="J94" s="8"/>
      <c r="K94" s="8"/>
      <c r="L94" s="8"/>
    </row>
    <row r="95">
      <c r="A95" s="86" t="s">
        <v>414</v>
      </c>
      <c r="B95" s="87" t="s">
        <v>136</v>
      </c>
      <c r="C95" s="12"/>
      <c r="F95" s="8"/>
      <c r="G95" s="8"/>
      <c r="H95" s="8"/>
      <c r="I95" s="8"/>
      <c r="J95" s="8"/>
      <c r="K95" s="8"/>
      <c r="L95" s="8"/>
    </row>
    <row r="96">
      <c r="A96" s="86" t="s">
        <v>135</v>
      </c>
      <c r="B96" s="87" t="s">
        <v>136</v>
      </c>
      <c r="C96" s="12"/>
      <c r="F96" s="8"/>
      <c r="G96" s="8"/>
      <c r="H96" s="8"/>
      <c r="I96" s="8"/>
      <c r="J96" s="8"/>
      <c r="K96" s="8"/>
      <c r="L96" s="8"/>
    </row>
    <row r="97">
      <c r="A97" s="86" t="s">
        <v>476</v>
      </c>
      <c r="B97" s="87" t="s">
        <v>136</v>
      </c>
      <c r="C97" s="12"/>
      <c r="F97" s="8"/>
      <c r="G97" s="8"/>
      <c r="H97" s="8"/>
      <c r="I97" s="8"/>
      <c r="J97" s="8"/>
      <c r="K97" s="8"/>
      <c r="L97" s="8"/>
    </row>
    <row r="98">
      <c r="A98" s="86" t="s">
        <v>477</v>
      </c>
      <c r="B98" s="87" t="s">
        <v>136</v>
      </c>
      <c r="C98" s="12"/>
      <c r="F98" s="8"/>
      <c r="G98" s="8"/>
      <c r="H98" s="8"/>
      <c r="I98" s="8"/>
      <c r="J98" s="8"/>
      <c r="K98" s="8"/>
      <c r="L98" s="8"/>
    </row>
    <row r="99">
      <c r="A99" s="86" t="s">
        <v>96</v>
      </c>
      <c r="B99" s="87" t="s">
        <v>136</v>
      </c>
      <c r="C99" s="12"/>
      <c r="F99" s="8"/>
      <c r="G99" s="8"/>
      <c r="H99" s="8"/>
      <c r="I99" s="8"/>
      <c r="J99" s="8"/>
      <c r="K99" s="8"/>
      <c r="L99" s="8"/>
    </row>
    <row r="100">
      <c r="A100" s="86" t="s">
        <v>193</v>
      </c>
      <c r="B100" s="87" t="s">
        <v>210</v>
      </c>
      <c r="C100" s="12"/>
      <c r="F100" s="8"/>
      <c r="G100" s="8"/>
      <c r="H100" s="8"/>
      <c r="I100" s="8"/>
      <c r="J100" s="8"/>
      <c r="K100" s="8"/>
      <c r="L100" s="8"/>
    </row>
    <row r="101">
      <c r="A101" s="86" t="s">
        <v>361</v>
      </c>
      <c r="B101" s="87" t="s">
        <v>210</v>
      </c>
    </row>
    <row r="102">
      <c r="A102" s="86" t="s">
        <v>478</v>
      </c>
      <c r="B102" s="87" t="s">
        <v>210</v>
      </c>
    </row>
    <row r="103">
      <c r="A103" s="86" t="s">
        <v>479</v>
      </c>
      <c r="B103" s="87" t="s">
        <v>210</v>
      </c>
    </row>
    <row r="104">
      <c r="A104" s="86" t="s">
        <v>480</v>
      </c>
      <c r="B104" s="87" t="s">
        <v>481</v>
      </c>
    </row>
    <row r="105">
      <c r="A105" s="86" t="s">
        <v>482</v>
      </c>
      <c r="B105" s="87" t="s">
        <v>481</v>
      </c>
    </row>
    <row r="106">
      <c r="A106" s="86" t="s">
        <v>483</v>
      </c>
      <c r="B106" s="87" t="s">
        <v>481</v>
      </c>
    </row>
    <row r="107">
      <c r="A107" s="86" t="s">
        <v>484</v>
      </c>
      <c r="B107" s="87" t="s">
        <v>142</v>
      </c>
    </row>
    <row r="108">
      <c r="A108" s="86" t="s">
        <v>485</v>
      </c>
      <c r="B108" s="87" t="s">
        <v>142</v>
      </c>
    </row>
    <row r="109">
      <c r="A109" s="86" t="s">
        <v>314</v>
      </c>
      <c r="B109" s="87" t="s">
        <v>142</v>
      </c>
    </row>
    <row r="110">
      <c r="A110" s="86" t="s">
        <v>486</v>
      </c>
      <c r="B110" s="87" t="s">
        <v>142</v>
      </c>
    </row>
    <row r="111">
      <c r="A111" s="86" t="s">
        <v>487</v>
      </c>
      <c r="B111" s="87" t="s">
        <v>142</v>
      </c>
    </row>
    <row r="112">
      <c r="A112" s="86" t="s">
        <v>488</v>
      </c>
      <c r="B112" s="87" t="s">
        <v>142</v>
      </c>
    </row>
    <row r="113">
      <c r="A113" s="86" t="s">
        <v>489</v>
      </c>
      <c r="B113" s="87" t="s">
        <v>335</v>
      </c>
    </row>
    <row r="114">
      <c r="A114" s="86" t="s">
        <v>354</v>
      </c>
      <c r="B114" s="87" t="s">
        <v>335</v>
      </c>
    </row>
    <row r="115">
      <c r="A115" s="86" t="s">
        <v>490</v>
      </c>
      <c r="B115" s="87" t="s">
        <v>250</v>
      </c>
    </row>
    <row r="116">
      <c r="A116" s="86" t="s">
        <v>491</v>
      </c>
      <c r="B116" s="87" t="s">
        <v>250</v>
      </c>
    </row>
    <row r="117">
      <c r="A117" s="86" t="s">
        <v>492</v>
      </c>
      <c r="B117" s="87" t="s">
        <v>493</v>
      </c>
    </row>
    <row r="118">
      <c r="A118" s="86" t="s">
        <v>494</v>
      </c>
      <c r="B118" s="87" t="s">
        <v>493</v>
      </c>
    </row>
    <row r="119">
      <c r="A119" s="86" t="s">
        <v>495</v>
      </c>
      <c r="B119" s="87" t="s">
        <v>493</v>
      </c>
    </row>
    <row r="120">
      <c r="A120" s="86" t="s">
        <v>496</v>
      </c>
      <c r="B120" s="87" t="s">
        <v>497</v>
      </c>
    </row>
    <row r="121">
      <c r="A121" s="86" t="s">
        <v>432</v>
      </c>
      <c r="B121" s="87" t="s">
        <v>497</v>
      </c>
    </row>
    <row r="122">
      <c r="A122" s="86" t="s">
        <v>498</v>
      </c>
      <c r="B122" s="87" t="s">
        <v>149</v>
      </c>
    </row>
    <row r="123">
      <c r="A123" s="86" t="s">
        <v>115</v>
      </c>
      <c r="B123" s="87" t="s">
        <v>149</v>
      </c>
    </row>
    <row r="124">
      <c r="A124" s="86" t="s">
        <v>499</v>
      </c>
      <c r="B124" s="87" t="s">
        <v>500</v>
      </c>
    </row>
    <row r="125">
      <c r="A125" s="86" t="s">
        <v>501</v>
      </c>
      <c r="B125" s="87" t="s">
        <v>500</v>
      </c>
    </row>
    <row r="126">
      <c r="A126" s="86" t="s">
        <v>502</v>
      </c>
      <c r="B126" s="87" t="s">
        <v>500</v>
      </c>
    </row>
    <row r="127">
      <c r="A127" s="86" t="s">
        <v>503</v>
      </c>
      <c r="B127" s="87" t="s">
        <v>500</v>
      </c>
    </row>
    <row r="128">
      <c r="A128" s="86" t="s">
        <v>504</v>
      </c>
      <c r="B128" s="87" t="s">
        <v>500</v>
      </c>
    </row>
    <row r="129">
      <c r="A129" s="86" t="s">
        <v>505</v>
      </c>
      <c r="B129" s="87" t="s">
        <v>500</v>
      </c>
    </row>
    <row r="130">
      <c r="A130" s="86" t="s">
        <v>506</v>
      </c>
      <c r="B130" s="87" t="s">
        <v>500</v>
      </c>
    </row>
    <row r="131">
      <c r="A131" s="86" t="s">
        <v>507</v>
      </c>
      <c r="B131" s="87" t="s">
        <v>500</v>
      </c>
    </row>
    <row r="132">
      <c r="A132" s="86" t="s">
        <v>508</v>
      </c>
      <c r="B132" s="87" t="s">
        <v>500</v>
      </c>
    </row>
    <row r="133">
      <c r="A133" s="86" t="s">
        <v>509</v>
      </c>
      <c r="B133" s="87" t="s">
        <v>500</v>
      </c>
    </row>
    <row r="134">
      <c r="A134" s="86" t="s">
        <v>510</v>
      </c>
      <c r="B134" s="87" t="s">
        <v>500</v>
      </c>
    </row>
    <row r="135">
      <c r="A135" s="86" t="s">
        <v>511</v>
      </c>
      <c r="B135" s="87" t="s">
        <v>500</v>
      </c>
    </row>
    <row r="136">
      <c r="A136" s="86" t="s">
        <v>512</v>
      </c>
      <c r="B136" s="87" t="s">
        <v>500</v>
      </c>
    </row>
    <row r="137">
      <c r="A137" s="86" t="s">
        <v>513</v>
      </c>
      <c r="B137" s="87" t="s">
        <v>500</v>
      </c>
    </row>
    <row r="138">
      <c r="A138" s="86" t="s">
        <v>514</v>
      </c>
      <c r="B138" s="87" t="s">
        <v>500</v>
      </c>
    </row>
    <row r="139">
      <c r="A139" s="86" t="s">
        <v>515</v>
      </c>
      <c r="B139" s="87" t="s">
        <v>500</v>
      </c>
    </row>
    <row r="140">
      <c r="A140" s="86" t="s">
        <v>145</v>
      </c>
      <c r="B140" s="87" t="s">
        <v>500</v>
      </c>
    </row>
    <row r="141">
      <c r="A141" s="86" t="s">
        <v>365</v>
      </c>
      <c r="B141" s="87" t="s">
        <v>500</v>
      </c>
    </row>
    <row r="142">
      <c r="A142" s="86" t="s">
        <v>322</v>
      </c>
      <c r="B142" s="87" t="s">
        <v>500</v>
      </c>
    </row>
    <row r="143">
      <c r="A143" s="86" t="s">
        <v>516</v>
      </c>
      <c r="B143" s="87" t="s">
        <v>500</v>
      </c>
    </row>
    <row r="144">
      <c r="A144" s="86" t="s">
        <v>517</v>
      </c>
      <c r="B144" s="87" t="s">
        <v>500</v>
      </c>
    </row>
    <row r="145">
      <c r="A145" s="86" t="s">
        <v>215</v>
      </c>
      <c r="B145" s="87" t="s">
        <v>500</v>
      </c>
    </row>
    <row r="146">
      <c r="A146" s="86" t="s">
        <v>518</v>
      </c>
      <c r="B146" s="87" t="s">
        <v>500</v>
      </c>
    </row>
    <row r="147">
      <c r="A147" s="86" t="s">
        <v>519</v>
      </c>
      <c r="B147" s="87" t="s">
        <v>500</v>
      </c>
    </row>
    <row r="148">
      <c r="A148" s="86" t="s">
        <v>520</v>
      </c>
      <c r="B148" s="87" t="s">
        <v>500</v>
      </c>
    </row>
    <row r="149">
      <c r="A149" s="86" t="s">
        <v>521</v>
      </c>
      <c r="B149" s="87" t="s">
        <v>500</v>
      </c>
    </row>
    <row r="150">
      <c r="A150" s="86" t="s">
        <v>522</v>
      </c>
      <c r="B150" s="87" t="s">
        <v>500</v>
      </c>
    </row>
    <row r="151">
      <c r="A151" s="86" t="s">
        <v>523</v>
      </c>
      <c r="B151" s="87" t="s">
        <v>500</v>
      </c>
    </row>
    <row r="152">
      <c r="A152" s="86" t="s">
        <v>524</v>
      </c>
      <c r="B152" s="87" t="s">
        <v>500</v>
      </c>
    </row>
    <row r="153">
      <c r="A153" s="86" t="s">
        <v>525</v>
      </c>
      <c r="B153" s="87" t="s">
        <v>500</v>
      </c>
    </row>
    <row r="154">
      <c r="A154" s="86" t="s">
        <v>526</v>
      </c>
      <c r="B154" s="87" t="s">
        <v>500</v>
      </c>
    </row>
    <row r="155">
      <c r="A155" s="86" t="s">
        <v>284</v>
      </c>
      <c r="B155" s="87" t="s">
        <v>500</v>
      </c>
    </row>
    <row r="156">
      <c r="A156" s="86" t="s">
        <v>363</v>
      </c>
      <c r="B156" s="87" t="s">
        <v>500</v>
      </c>
    </row>
    <row r="157">
      <c r="A157" s="86" t="s">
        <v>527</v>
      </c>
      <c r="B157" s="87" t="s">
        <v>500</v>
      </c>
    </row>
    <row r="158">
      <c r="A158" s="86" t="s">
        <v>528</v>
      </c>
      <c r="B158" s="87" t="s">
        <v>500</v>
      </c>
    </row>
    <row r="159">
      <c r="A159" s="86" t="s">
        <v>256</v>
      </c>
      <c r="B159" s="87" t="s">
        <v>500</v>
      </c>
    </row>
    <row r="160">
      <c r="A160" s="86" t="s">
        <v>529</v>
      </c>
      <c r="B160" s="87" t="s">
        <v>500</v>
      </c>
    </row>
    <row r="161">
      <c r="A161" s="86" t="s">
        <v>530</v>
      </c>
      <c r="B161" s="87" t="s">
        <v>500</v>
      </c>
    </row>
    <row r="162">
      <c r="A162" s="86" t="s">
        <v>531</v>
      </c>
      <c r="B162" s="87" t="s">
        <v>500</v>
      </c>
    </row>
    <row r="163">
      <c r="A163" s="86" t="s">
        <v>532</v>
      </c>
      <c r="B163" s="87" t="s">
        <v>500</v>
      </c>
    </row>
    <row r="164">
      <c r="A164" s="86" t="s">
        <v>533</v>
      </c>
      <c r="B164" s="87" t="s">
        <v>500</v>
      </c>
    </row>
    <row r="165">
      <c r="A165" s="86" t="s">
        <v>534</v>
      </c>
      <c r="B165" s="87" t="s">
        <v>500</v>
      </c>
    </row>
    <row r="166">
      <c r="A166" s="86" t="s">
        <v>535</v>
      </c>
      <c r="B166" s="87" t="s">
        <v>500</v>
      </c>
    </row>
    <row r="167">
      <c r="A167" s="86" t="s">
        <v>536</v>
      </c>
      <c r="B167" s="91" t="s">
        <v>151</v>
      </c>
    </row>
    <row r="168">
      <c r="A168" s="86" t="s">
        <v>537</v>
      </c>
      <c r="B168" s="91" t="s">
        <v>151</v>
      </c>
    </row>
    <row r="169">
      <c r="A169" s="86" t="s">
        <v>538</v>
      </c>
      <c r="B169" s="91" t="s">
        <v>440</v>
      </c>
    </row>
    <row r="170">
      <c r="A170" s="86" t="s">
        <v>539</v>
      </c>
      <c r="B170" s="91" t="s">
        <v>440</v>
      </c>
    </row>
    <row r="171">
      <c r="A171" s="86" t="s">
        <v>540</v>
      </c>
      <c r="B171" s="91" t="s">
        <v>290</v>
      </c>
    </row>
    <row r="172">
      <c r="A172" s="86" t="s">
        <v>541</v>
      </c>
      <c r="B172" s="91" t="s">
        <v>290</v>
      </c>
    </row>
    <row r="173">
      <c r="A173" s="86" t="s">
        <v>178</v>
      </c>
      <c r="B173" s="91" t="s">
        <v>290</v>
      </c>
    </row>
    <row r="174">
      <c r="A174" s="86" t="s">
        <v>542</v>
      </c>
      <c r="B174" s="91">
        <v>36526.0</v>
      </c>
    </row>
    <row r="175">
      <c r="A175" s="86" t="s">
        <v>543</v>
      </c>
      <c r="B175" s="91">
        <v>36526.0</v>
      </c>
    </row>
    <row r="176">
      <c r="A176" s="86" t="s">
        <v>544</v>
      </c>
      <c r="B176" s="91">
        <v>36526.0</v>
      </c>
    </row>
    <row r="177">
      <c r="A177" s="86" t="s">
        <v>545</v>
      </c>
      <c r="B177" s="91">
        <v>36526.0</v>
      </c>
    </row>
    <row r="178">
      <c r="A178" s="86" t="s">
        <v>546</v>
      </c>
      <c r="B178" s="91">
        <v>36526.0</v>
      </c>
    </row>
    <row r="179">
      <c r="A179" s="86" t="s">
        <v>377</v>
      </c>
      <c r="B179" s="91">
        <v>36526.0</v>
      </c>
    </row>
  </sheetData>
  <mergeCells count="5">
    <mergeCell ref="A1:L1"/>
    <mergeCell ref="A2:L2"/>
    <mergeCell ref="A3:L3"/>
    <mergeCell ref="A4:L4"/>
    <mergeCell ref="J23:K23"/>
  </mergeCells>
  <conditionalFormatting sqref="D68">
    <cfRule type="cellIs" dxfId="0" priority="1" operator="equal">
      <formula>"Yes"</formula>
    </cfRule>
  </conditionalFormatting>
  <conditionalFormatting sqref="D68">
    <cfRule type="cellIs" dxfId="1" priority="2" operator="equal">
      <formula>"No"</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5" max="5" width="21.13"/>
    <col customWidth="1" min="6" max="6" width="16.75"/>
    <col customWidth="1" min="7" max="7" width="15.25"/>
    <col customWidth="1" min="8" max="8" width="16.75"/>
    <col customWidth="1" min="9" max="9" width="13.88"/>
    <col customWidth="1" min="10" max="10" width="16.5"/>
    <col customWidth="1" min="11" max="11" width="17.75"/>
  </cols>
  <sheetData>
    <row r="1">
      <c r="A1" s="1" t="s">
        <v>547</v>
      </c>
    </row>
    <row r="2">
      <c r="A2" s="2" t="s">
        <v>1</v>
      </c>
    </row>
    <row r="3">
      <c r="A3" s="3" t="s">
        <v>548</v>
      </c>
    </row>
    <row r="4">
      <c r="A4" s="3" t="s">
        <v>3</v>
      </c>
    </row>
    <row r="5">
      <c r="A5" s="4"/>
      <c r="B5" s="4"/>
      <c r="C5" s="4"/>
      <c r="D5" s="4"/>
      <c r="E5" s="4"/>
      <c r="F5" s="4"/>
      <c r="G5" s="4"/>
      <c r="H5" s="4"/>
      <c r="I5" s="4"/>
      <c r="J5" s="5"/>
      <c r="K5" s="5"/>
      <c r="L5" s="5"/>
    </row>
    <row r="6">
      <c r="A6" s="6" t="s">
        <v>4</v>
      </c>
    </row>
    <row r="7">
      <c r="A7" s="7" t="s">
        <v>166</v>
      </c>
      <c r="B7" s="7"/>
      <c r="C7" s="7"/>
      <c r="D7" s="7"/>
      <c r="E7" s="7"/>
      <c r="F7" s="7"/>
      <c r="G7" s="7"/>
      <c r="H7" s="7"/>
      <c r="I7" s="7"/>
      <c r="J7" s="7"/>
      <c r="K7" s="7"/>
      <c r="L7" s="7"/>
    </row>
    <row r="8">
      <c r="A8" s="8" t="s">
        <v>6</v>
      </c>
    </row>
    <row r="9">
      <c r="A9" s="8" t="s">
        <v>7</v>
      </c>
    </row>
    <row r="10">
      <c r="A10" s="8" t="s">
        <v>447</v>
      </c>
    </row>
    <row r="11">
      <c r="A11" s="8" t="s">
        <v>8</v>
      </c>
    </row>
    <row r="12">
      <c r="A12" s="8" t="s">
        <v>9</v>
      </c>
    </row>
    <row r="15">
      <c r="A15" s="9" t="s">
        <v>10</v>
      </c>
      <c r="B15" s="10" t="s">
        <v>11</v>
      </c>
      <c r="C15" s="10" t="s">
        <v>12</v>
      </c>
      <c r="D15" s="10" t="s">
        <v>13</v>
      </c>
      <c r="F15" s="11" t="s">
        <v>14</v>
      </c>
      <c r="G15" s="11" t="s">
        <v>15</v>
      </c>
      <c r="H15" s="11" t="s">
        <v>16</v>
      </c>
      <c r="J15" s="11" t="s">
        <v>17</v>
      </c>
      <c r="K15" s="11" t="s">
        <v>18</v>
      </c>
      <c r="L15" s="11" t="s">
        <v>19</v>
      </c>
    </row>
    <row r="16">
      <c r="A16" s="12" t="s">
        <v>236</v>
      </c>
      <c r="B16" s="13">
        <v>43344.0</v>
      </c>
      <c r="C16" s="14" t="s">
        <v>449</v>
      </c>
      <c r="D16" s="15">
        <v>208.0</v>
      </c>
      <c r="F16" s="16" t="s">
        <v>385</v>
      </c>
      <c r="G16" s="92">
        <v>0.0</v>
      </c>
      <c r="H16" s="8" t="s">
        <v>22</v>
      </c>
      <c r="J16" s="8" t="s">
        <v>23</v>
      </c>
      <c r="K16" s="19">
        <v>0.45</v>
      </c>
      <c r="L16" s="8">
        <f t="shared" ref="L16:L20" si="1">K16*$D$62</f>
        <v>1042.65</v>
      </c>
    </row>
    <row r="17">
      <c r="A17" s="12" t="s">
        <v>82</v>
      </c>
      <c r="B17" s="22">
        <v>43405.0</v>
      </c>
      <c r="C17" s="23" t="s">
        <v>63</v>
      </c>
      <c r="D17" s="24">
        <v>183.0</v>
      </c>
      <c r="F17" s="16" t="s">
        <v>388</v>
      </c>
      <c r="G17" s="92">
        <v>34.0</v>
      </c>
      <c r="H17" s="8" t="s">
        <v>450</v>
      </c>
      <c r="I17" s="8"/>
      <c r="J17" s="8" t="s">
        <v>26</v>
      </c>
      <c r="K17" s="19">
        <v>0.25</v>
      </c>
      <c r="L17" s="8">
        <f t="shared" si="1"/>
        <v>579.25</v>
      </c>
    </row>
    <row r="18">
      <c r="A18" s="12" t="s">
        <v>27</v>
      </c>
      <c r="B18" s="22">
        <v>43405.0</v>
      </c>
      <c r="C18" s="23" t="s">
        <v>28</v>
      </c>
      <c r="D18" s="24">
        <v>135.0</v>
      </c>
      <c r="F18" s="16" t="s">
        <v>389</v>
      </c>
      <c r="G18" s="92">
        <v>19.0</v>
      </c>
      <c r="H18" s="8" t="s">
        <v>450</v>
      </c>
      <c r="I18" s="8"/>
      <c r="J18" s="8" t="s">
        <v>29</v>
      </c>
      <c r="K18" s="19">
        <v>0.15</v>
      </c>
      <c r="L18" s="8">
        <f t="shared" si="1"/>
        <v>347.55</v>
      </c>
    </row>
    <row r="19">
      <c r="A19" s="12" t="s">
        <v>123</v>
      </c>
      <c r="B19" s="25" t="s">
        <v>549</v>
      </c>
      <c r="C19" s="23" t="s">
        <v>448</v>
      </c>
      <c r="D19" s="24">
        <v>140.0</v>
      </c>
      <c r="E19" s="8"/>
      <c r="F19" s="16" t="s">
        <v>390</v>
      </c>
      <c r="G19" s="92">
        <v>123.0</v>
      </c>
      <c r="H19" s="8" t="s">
        <v>550</v>
      </c>
      <c r="I19" s="8"/>
      <c r="J19" s="8" t="s">
        <v>32</v>
      </c>
      <c r="K19" s="19">
        <v>0.1</v>
      </c>
      <c r="L19" s="8">
        <f t="shared" si="1"/>
        <v>231.7</v>
      </c>
    </row>
    <row r="20">
      <c r="A20" s="12" t="s">
        <v>346</v>
      </c>
      <c r="B20" s="22">
        <v>43435.0</v>
      </c>
      <c r="C20" s="23" t="s">
        <v>41</v>
      </c>
      <c r="D20" s="24">
        <v>169.0</v>
      </c>
      <c r="E20" s="8"/>
      <c r="F20" s="16" t="s">
        <v>392</v>
      </c>
      <c r="G20" s="92">
        <v>371.0</v>
      </c>
      <c r="H20" s="8" t="s">
        <v>450</v>
      </c>
      <c r="I20" s="8"/>
      <c r="J20" s="8" t="s">
        <v>36</v>
      </c>
      <c r="K20" s="19">
        <v>0.05</v>
      </c>
      <c r="L20" s="8">
        <f t="shared" si="1"/>
        <v>115.85</v>
      </c>
    </row>
    <row r="21">
      <c r="A21" s="12" t="s">
        <v>52</v>
      </c>
      <c r="B21" s="25" t="s">
        <v>169</v>
      </c>
      <c r="C21" s="23" t="s">
        <v>28</v>
      </c>
      <c r="D21" s="24">
        <v>90.0</v>
      </c>
      <c r="F21" s="16" t="s">
        <v>393</v>
      </c>
      <c r="G21" s="92">
        <v>72.0</v>
      </c>
      <c r="H21" s="8" t="s">
        <v>450</v>
      </c>
      <c r="I21" s="8"/>
      <c r="J21" s="8"/>
      <c r="K21" s="8"/>
      <c r="L21" s="8"/>
    </row>
    <row r="22">
      <c r="A22" s="12" t="s">
        <v>144</v>
      </c>
      <c r="B22" s="25" t="s">
        <v>302</v>
      </c>
      <c r="C22" s="23" t="s">
        <v>51</v>
      </c>
      <c r="D22" s="24">
        <v>91.0</v>
      </c>
      <c r="F22" s="16" t="s">
        <v>394</v>
      </c>
      <c r="G22" s="92">
        <v>27.0</v>
      </c>
      <c r="H22" s="8" t="s">
        <v>450</v>
      </c>
      <c r="I22" s="8"/>
      <c r="J22" s="8"/>
      <c r="K22" s="8"/>
      <c r="L22" s="8"/>
    </row>
    <row r="23">
      <c r="A23" s="12" t="s">
        <v>186</v>
      </c>
      <c r="B23" s="25" t="s">
        <v>34</v>
      </c>
      <c r="C23" s="23" t="s">
        <v>461</v>
      </c>
      <c r="D23" s="24">
        <v>72.0</v>
      </c>
      <c r="F23" s="16" t="s">
        <v>398</v>
      </c>
      <c r="G23" s="92">
        <v>112.0</v>
      </c>
      <c r="H23" s="8" t="s">
        <v>450</v>
      </c>
      <c r="I23" s="8"/>
      <c r="J23" s="26" t="s">
        <v>45</v>
      </c>
      <c r="K23" s="27"/>
      <c r="L23" s="8"/>
    </row>
    <row r="24">
      <c r="A24" s="12" t="s">
        <v>93</v>
      </c>
      <c r="B24" s="25" t="s">
        <v>40</v>
      </c>
      <c r="C24" s="23" t="s">
        <v>400</v>
      </c>
      <c r="D24" s="24">
        <v>70.0</v>
      </c>
      <c r="F24" s="16" t="s">
        <v>399</v>
      </c>
      <c r="G24" s="92">
        <v>234.0</v>
      </c>
      <c r="H24" s="8" t="s">
        <v>450</v>
      </c>
      <c r="I24" s="8"/>
      <c r="J24" s="66">
        <v>1.0</v>
      </c>
      <c r="K24" s="66" t="s">
        <v>60</v>
      </c>
      <c r="L24" s="93">
        <f t="shared" ref="L24:L27" si="2">L16</f>
        <v>1042.65</v>
      </c>
      <c r="M24" s="66" t="s">
        <v>63</v>
      </c>
    </row>
    <row r="25">
      <c r="A25" s="12" t="s">
        <v>24</v>
      </c>
      <c r="B25" s="25" t="s">
        <v>40</v>
      </c>
      <c r="C25" s="23" t="s">
        <v>28</v>
      </c>
      <c r="D25" s="24">
        <v>69.0</v>
      </c>
      <c r="F25" s="16" t="s">
        <v>401</v>
      </c>
      <c r="G25" s="92">
        <v>184.0</v>
      </c>
      <c r="H25" s="8" t="s">
        <v>450</v>
      </c>
      <c r="I25" s="8"/>
      <c r="J25" s="73">
        <v>2.0</v>
      </c>
      <c r="K25" s="73" t="s">
        <v>237</v>
      </c>
      <c r="L25" s="77">
        <f t="shared" si="2"/>
        <v>579.25</v>
      </c>
      <c r="M25" s="73" t="s">
        <v>403</v>
      </c>
    </row>
    <row r="26">
      <c r="A26" s="12" t="s">
        <v>237</v>
      </c>
      <c r="B26" s="25" t="s">
        <v>40</v>
      </c>
      <c r="C26" s="23" t="s">
        <v>403</v>
      </c>
      <c r="D26" s="24">
        <v>80.0</v>
      </c>
      <c r="F26" s="16" t="s">
        <v>402</v>
      </c>
      <c r="G26" s="92">
        <v>247.0</v>
      </c>
      <c r="H26" s="8" t="s">
        <v>450</v>
      </c>
      <c r="J26" s="66">
        <v>3.0</v>
      </c>
      <c r="K26" s="66" t="s">
        <v>67</v>
      </c>
      <c r="L26" s="93">
        <f t="shared" si="2"/>
        <v>347.55</v>
      </c>
      <c r="M26" s="66" t="s">
        <v>41</v>
      </c>
    </row>
    <row r="27">
      <c r="A27" s="12" t="s">
        <v>309</v>
      </c>
      <c r="B27" s="25" t="s">
        <v>261</v>
      </c>
      <c r="C27" s="23" t="s">
        <v>44</v>
      </c>
      <c r="D27" s="24">
        <v>81.0</v>
      </c>
      <c r="F27" s="16" t="s">
        <v>452</v>
      </c>
      <c r="G27" s="92">
        <v>52.0</v>
      </c>
      <c r="H27" s="8" t="s">
        <v>450</v>
      </c>
      <c r="J27" s="73">
        <v>4.0</v>
      </c>
      <c r="K27" s="73" t="s">
        <v>24</v>
      </c>
      <c r="L27" s="77">
        <f t="shared" si="2"/>
        <v>231.7</v>
      </c>
      <c r="M27" s="73" t="s">
        <v>28</v>
      </c>
    </row>
    <row r="28">
      <c r="A28" s="12" t="s">
        <v>131</v>
      </c>
      <c r="B28" s="25" t="s">
        <v>172</v>
      </c>
      <c r="C28" s="23" t="s">
        <v>395</v>
      </c>
      <c r="D28" s="24">
        <v>35.0</v>
      </c>
      <c r="F28" s="16" t="s">
        <v>404</v>
      </c>
      <c r="G28" s="92">
        <v>145.0</v>
      </c>
      <c r="H28" s="8" t="s">
        <v>450</v>
      </c>
      <c r="I28" s="8"/>
      <c r="J28" s="66" t="s">
        <v>173</v>
      </c>
      <c r="K28" s="66" t="s">
        <v>144</v>
      </c>
      <c r="L28" s="93">
        <f t="shared" ref="L28:L31" si="3">$L$20/4</f>
        <v>28.9625</v>
      </c>
      <c r="M28" s="66" t="s">
        <v>51</v>
      </c>
    </row>
    <row r="29">
      <c r="A29" s="12" t="s">
        <v>57</v>
      </c>
      <c r="B29" s="25" t="s">
        <v>58</v>
      </c>
      <c r="C29" s="23" t="s">
        <v>31</v>
      </c>
      <c r="D29" s="24">
        <v>50.0</v>
      </c>
      <c r="F29" s="16" t="s">
        <v>405</v>
      </c>
      <c r="G29" s="92">
        <v>0.0</v>
      </c>
      <c r="H29" s="8" t="s">
        <v>22</v>
      </c>
      <c r="I29" s="8"/>
      <c r="J29" s="73" t="s">
        <v>173</v>
      </c>
      <c r="K29" s="73" t="s">
        <v>551</v>
      </c>
      <c r="L29" s="77">
        <f t="shared" si="3"/>
        <v>28.9625</v>
      </c>
      <c r="M29" s="73" t="s">
        <v>51</v>
      </c>
    </row>
    <row r="30">
      <c r="A30" s="12" t="s">
        <v>117</v>
      </c>
      <c r="B30" s="25" t="s">
        <v>176</v>
      </c>
      <c r="C30" s="23" t="s">
        <v>28</v>
      </c>
      <c r="D30" s="24">
        <v>47.0</v>
      </c>
      <c r="F30" s="16" t="s">
        <v>406</v>
      </c>
      <c r="G30" s="92">
        <v>80.0</v>
      </c>
      <c r="H30" s="8" t="s">
        <v>450</v>
      </c>
      <c r="I30" s="8"/>
      <c r="J30" s="66" t="s">
        <v>173</v>
      </c>
      <c r="K30" s="66" t="s">
        <v>27</v>
      </c>
      <c r="L30" s="93">
        <f t="shared" si="3"/>
        <v>28.9625</v>
      </c>
      <c r="M30" s="66" t="s">
        <v>28</v>
      </c>
    </row>
    <row r="31">
      <c r="A31" s="12" t="s">
        <v>369</v>
      </c>
      <c r="B31" s="25" t="s">
        <v>176</v>
      </c>
      <c r="C31" s="23" t="s">
        <v>51</v>
      </c>
      <c r="D31" s="24">
        <v>49.0</v>
      </c>
      <c r="F31" s="16" t="s">
        <v>407</v>
      </c>
      <c r="G31" s="92">
        <v>14.0</v>
      </c>
      <c r="H31" s="8" t="s">
        <v>450</v>
      </c>
      <c r="I31" s="8"/>
      <c r="J31" s="73" t="s">
        <v>173</v>
      </c>
      <c r="K31" s="73" t="s">
        <v>179</v>
      </c>
      <c r="L31" s="77">
        <f t="shared" si="3"/>
        <v>28.9625</v>
      </c>
      <c r="M31" s="73" t="s">
        <v>51</v>
      </c>
    </row>
    <row r="32">
      <c r="A32" s="12" t="s">
        <v>60</v>
      </c>
      <c r="B32" s="25" t="s">
        <v>176</v>
      </c>
      <c r="C32" s="23" t="s">
        <v>63</v>
      </c>
      <c r="D32" s="24">
        <v>48.0</v>
      </c>
      <c r="F32" s="16" t="s">
        <v>408</v>
      </c>
      <c r="G32" s="92">
        <v>27.0</v>
      </c>
      <c r="H32" s="8"/>
      <c r="I32" s="8"/>
      <c r="J32" s="8"/>
      <c r="K32" s="8"/>
      <c r="L32" s="8"/>
      <c r="M32" s="32"/>
    </row>
    <row r="33">
      <c r="A33" s="12" t="s">
        <v>46</v>
      </c>
      <c r="B33" s="25" t="s">
        <v>176</v>
      </c>
      <c r="C33" s="23" t="s">
        <v>400</v>
      </c>
      <c r="D33" s="24">
        <v>45.0</v>
      </c>
      <c r="F33" s="16" t="s">
        <v>409</v>
      </c>
      <c r="G33" s="92">
        <v>212.0</v>
      </c>
      <c r="H33" s="8" t="s">
        <v>450</v>
      </c>
      <c r="I33" s="8"/>
      <c r="J33" s="8"/>
      <c r="K33" s="8"/>
      <c r="L33" s="8"/>
    </row>
    <row r="34">
      <c r="A34" s="12" t="s">
        <v>356</v>
      </c>
      <c r="B34" s="25" t="s">
        <v>72</v>
      </c>
      <c r="C34" s="23" t="s">
        <v>448</v>
      </c>
      <c r="D34" s="24">
        <v>72.0</v>
      </c>
      <c r="F34" s="16" t="s">
        <v>410</v>
      </c>
      <c r="G34" s="92">
        <v>277.0</v>
      </c>
      <c r="H34" s="8" t="s">
        <v>450</v>
      </c>
      <c r="I34" s="8"/>
      <c r="J34" s="8"/>
      <c r="K34" s="8"/>
      <c r="L34" s="8"/>
    </row>
    <row r="35">
      <c r="A35" s="12" t="s">
        <v>267</v>
      </c>
      <c r="B35" s="25" t="s">
        <v>75</v>
      </c>
      <c r="C35" s="23" t="s">
        <v>412</v>
      </c>
      <c r="D35" s="24">
        <v>27.0</v>
      </c>
      <c r="F35" s="16" t="s">
        <v>411</v>
      </c>
      <c r="G35" s="92">
        <v>87.0</v>
      </c>
      <c r="H35" s="8" t="s">
        <v>450</v>
      </c>
      <c r="I35" s="8"/>
      <c r="J35" s="8"/>
      <c r="K35" s="8"/>
      <c r="L35" s="8"/>
    </row>
    <row r="36">
      <c r="A36" s="12" t="s">
        <v>310</v>
      </c>
      <c r="B36" s="25" t="s">
        <v>79</v>
      </c>
      <c r="C36" s="23" t="s">
        <v>449</v>
      </c>
      <c r="D36" s="24">
        <v>26.0</v>
      </c>
      <c r="F36" s="34" t="s">
        <v>73</v>
      </c>
      <c r="G36" s="78">
        <f>sum(G16:G35)</f>
        <v>2317</v>
      </c>
      <c r="H36" s="8"/>
      <c r="I36" s="8"/>
      <c r="J36" s="8"/>
      <c r="K36" s="8"/>
      <c r="L36" s="8"/>
    </row>
    <row r="37">
      <c r="A37" s="8" t="s">
        <v>357</v>
      </c>
      <c r="B37" s="25" t="s">
        <v>79</v>
      </c>
      <c r="C37" s="23" t="s">
        <v>59</v>
      </c>
      <c r="D37" s="24">
        <v>23.0</v>
      </c>
      <c r="F37" s="8"/>
      <c r="G37" s="8"/>
      <c r="H37" s="8"/>
      <c r="I37" s="8"/>
      <c r="J37" s="8"/>
      <c r="K37" s="8"/>
      <c r="L37" s="8"/>
    </row>
    <row r="38">
      <c r="A38" s="12" t="s">
        <v>80</v>
      </c>
      <c r="B38" s="25" t="s">
        <v>266</v>
      </c>
      <c r="C38" s="23" t="s">
        <v>63</v>
      </c>
      <c r="D38" s="24">
        <v>25.0</v>
      </c>
      <c r="K38" s="8"/>
      <c r="L38" s="8"/>
    </row>
    <row r="39">
      <c r="A39" s="12" t="s">
        <v>273</v>
      </c>
      <c r="B39" s="25" t="s">
        <v>266</v>
      </c>
      <c r="C39" s="23" t="s">
        <v>28</v>
      </c>
      <c r="D39" s="24">
        <v>30.0</v>
      </c>
      <c r="F39" s="79" t="s">
        <v>388</v>
      </c>
      <c r="G39" s="79" t="s">
        <v>389</v>
      </c>
      <c r="H39" s="79" t="s">
        <v>390</v>
      </c>
      <c r="I39" s="79" t="s">
        <v>392</v>
      </c>
      <c r="J39" s="79" t="s">
        <v>393</v>
      </c>
      <c r="K39" s="79" t="s">
        <v>394</v>
      </c>
    </row>
    <row r="40">
      <c r="A40" s="12" t="s">
        <v>175</v>
      </c>
      <c r="B40" s="25" t="s">
        <v>266</v>
      </c>
      <c r="C40" s="23" t="s">
        <v>56</v>
      </c>
      <c r="D40" s="24">
        <v>14.0</v>
      </c>
      <c r="F40" s="12" t="s">
        <v>33</v>
      </c>
      <c r="G40" s="12" t="s">
        <v>416</v>
      </c>
      <c r="H40" s="12" t="s">
        <v>93</v>
      </c>
      <c r="I40" s="12" t="s">
        <v>27</v>
      </c>
      <c r="J40" s="12" t="s">
        <v>57</v>
      </c>
      <c r="K40" s="12" t="s">
        <v>267</v>
      </c>
      <c r="L40" s="8"/>
    </row>
    <row r="41">
      <c r="A41" s="12" t="s">
        <v>109</v>
      </c>
      <c r="B41" s="25" t="s">
        <v>85</v>
      </c>
      <c r="C41" s="23" t="s">
        <v>44</v>
      </c>
      <c r="D41" s="24">
        <v>16.0</v>
      </c>
      <c r="F41" s="12" t="s">
        <v>283</v>
      </c>
      <c r="G41" s="12"/>
      <c r="H41" s="12" t="s">
        <v>46</v>
      </c>
      <c r="I41" s="12" t="s">
        <v>52</v>
      </c>
      <c r="J41" s="12" t="s">
        <v>463</v>
      </c>
      <c r="K41" s="12"/>
      <c r="L41" s="8"/>
    </row>
    <row r="42">
      <c r="A42" s="12" t="s">
        <v>418</v>
      </c>
      <c r="B42" s="25" t="s">
        <v>92</v>
      </c>
      <c r="C42" s="23" t="s">
        <v>63</v>
      </c>
      <c r="D42" s="24">
        <v>14.0</v>
      </c>
      <c r="F42" s="12" t="s">
        <v>100</v>
      </c>
      <c r="G42" s="12"/>
      <c r="H42" s="12" t="s">
        <v>476</v>
      </c>
      <c r="I42" s="12" t="s">
        <v>24</v>
      </c>
      <c r="J42" s="12" t="s">
        <v>233</v>
      </c>
      <c r="K42" s="12"/>
      <c r="L42" s="8"/>
    </row>
    <row r="43">
      <c r="A43" s="12" t="s">
        <v>30</v>
      </c>
      <c r="B43" s="25" t="s">
        <v>92</v>
      </c>
      <c r="C43" s="23" t="s">
        <v>552</v>
      </c>
      <c r="D43" s="24">
        <v>30.0</v>
      </c>
      <c r="F43" s="12"/>
      <c r="G43" s="12"/>
      <c r="H43" s="12"/>
      <c r="I43" s="12" t="s">
        <v>117</v>
      </c>
      <c r="J43" s="12"/>
      <c r="K43" s="12"/>
      <c r="L43" s="8"/>
    </row>
    <row r="44">
      <c r="A44" s="12" t="s">
        <v>416</v>
      </c>
      <c r="B44" s="25" t="s">
        <v>92</v>
      </c>
      <c r="C44" s="23" t="s">
        <v>25</v>
      </c>
      <c r="D44" s="24">
        <v>19.0</v>
      </c>
      <c r="F44" s="12"/>
      <c r="G44" s="12"/>
      <c r="H44" s="12"/>
      <c r="I44" s="12" t="s">
        <v>273</v>
      </c>
      <c r="J44" s="12"/>
      <c r="K44" s="12"/>
      <c r="L44" s="8"/>
    </row>
    <row r="45">
      <c r="A45" s="12" t="s">
        <v>89</v>
      </c>
      <c r="B45" s="25" t="s">
        <v>92</v>
      </c>
      <c r="C45" s="23" t="s">
        <v>395</v>
      </c>
      <c r="D45" s="24">
        <v>12.0</v>
      </c>
      <c r="F45" s="60"/>
      <c r="K45" s="8"/>
      <c r="L45" s="8"/>
    </row>
    <row r="46">
      <c r="A46" s="12" t="s">
        <v>463</v>
      </c>
      <c r="B46" s="25" t="s">
        <v>92</v>
      </c>
      <c r="C46" s="23" t="s">
        <v>31</v>
      </c>
      <c r="D46" s="24">
        <v>12.0</v>
      </c>
      <c r="F46" s="79" t="s">
        <v>398</v>
      </c>
      <c r="G46" s="79" t="s">
        <v>399</v>
      </c>
      <c r="H46" s="79" t="s">
        <v>401</v>
      </c>
      <c r="I46" s="79" t="s">
        <v>402</v>
      </c>
      <c r="J46" s="79" t="s">
        <v>452</v>
      </c>
      <c r="K46" s="79" t="s">
        <v>404</v>
      </c>
      <c r="L46" s="8"/>
    </row>
    <row r="47">
      <c r="A47" s="12" t="s">
        <v>33</v>
      </c>
      <c r="B47" s="25" t="s">
        <v>92</v>
      </c>
      <c r="C47" s="23" t="s">
        <v>21</v>
      </c>
      <c r="D47" s="24">
        <v>11.0</v>
      </c>
      <c r="F47" s="12" t="s">
        <v>309</v>
      </c>
      <c r="G47" s="12" t="s">
        <v>236</v>
      </c>
      <c r="H47" s="12" t="s">
        <v>346</v>
      </c>
      <c r="I47" s="12" t="s">
        <v>131</v>
      </c>
      <c r="J47" s="12" t="s">
        <v>30</v>
      </c>
      <c r="K47" s="12" t="s">
        <v>144</v>
      </c>
    </row>
    <row r="48">
      <c r="A48" s="12" t="s">
        <v>148</v>
      </c>
      <c r="B48" s="25" t="s">
        <v>95</v>
      </c>
      <c r="C48" s="23" t="s">
        <v>41</v>
      </c>
      <c r="D48" s="24">
        <v>15.0</v>
      </c>
      <c r="F48" s="12" t="s">
        <v>109</v>
      </c>
      <c r="G48" s="12" t="s">
        <v>310</v>
      </c>
      <c r="H48" s="12" t="s">
        <v>148</v>
      </c>
      <c r="I48" s="12" t="s">
        <v>89</v>
      </c>
      <c r="J48" s="12" t="s">
        <v>180</v>
      </c>
      <c r="K48" s="12" t="s">
        <v>369</v>
      </c>
      <c r="L48" s="8"/>
    </row>
    <row r="49">
      <c r="A49" s="12" t="s">
        <v>102</v>
      </c>
      <c r="B49" s="25" t="s">
        <v>95</v>
      </c>
      <c r="C49" s="23" t="s">
        <v>461</v>
      </c>
      <c r="D49" s="24">
        <v>15.0</v>
      </c>
      <c r="F49" s="12" t="s">
        <v>425</v>
      </c>
      <c r="G49" s="12"/>
      <c r="H49" s="12"/>
      <c r="I49" s="12" t="s">
        <v>103</v>
      </c>
      <c r="J49" s="12"/>
      <c r="K49" s="12" t="s">
        <v>179</v>
      </c>
      <c r="L49" s="8"/>
    </row>
    <row r="50">
      <c r="A50" s="12" t="s">
        <v>283</v>
      </c>
      <c r="B50" s="25" t="s">
        <v>95</v>
      </c>
      <c r="C50" s="23" t="s">
        <v>21</v>
      </c>
      <c r="D50" s="24">
        <v>16.0</v>
      </c>
      <c r="F50" s="12" t="s">
        <v>487</v>
      </c>
      <c r="G50" s="12"/>
      <c r="H50" s="12"/>
      <c r="I50" s="12"/>
      <c r="J50" s="12"/>
      <c r="K50" s="12"/>
      <c r="L50" s="8"/>
    </row>
    <row r="51">
      <c r="A51" s="12" t="s">
        <v>425</v>
      </c>
      <c r="B51" s="25" t="s">
        <v>95</v>
      </c>
      <c r="C51" s="23" t="s">
        <v>44</v>
      </c>
      <c r="D51" s="24">
        <v>10.0</v>
      </c>
      <c r="F51" s="12"/>
      <c r="G51" s="12"/>
      <c r="H51" s="12"/>
      <c r="I51" s="12"/>
      <c r="J51" s="12"/>
      <c r="K51" s="12"/>
      <c r="L51" s="8"/>
    </row>
    <row r="52">
      <c r="A52" s="12" t="s">
        <v>233</v>
      </c>
      <c r="B52" s="61" t="s">
        <v>95</v>
      </c>
      <c r="C52" s="23" t="s">
        <v>31</v>
      </c>
      <c r="D52" s="24">
        <v>10.0</v>
      </c>
      <c r="L52" s="8"/>
    </row>
    <row r="53">
      <c r="A53" s="12" t="s">
        <v>180</v>
      </c>
      <c r="B53" s="40" t="s">
        <v>95</v>
      </c>
      <c r="C53" s="23" t="s">
        <v>552</v>
      </c>
      <c r="D53" s="24">
        <v>22.0</v>
      </c>
      <c r="F53" s="79" t="s">
        <v>406</v>
      </c>
      <c r="G53" s="79" t="s">
        <v>407</v>
      </c>
      <c r="H53" s="79" t="s">
        <v>408</v>
      </c>
      <c r="I53" s="79" t="s">
        <v>409</v>
      </c>
      <c r="J53" s="79" t="s">
        <v>410</v>
      </c>
      <c r="K53" s="79" t="s">
        <v>411</v>
      </c>
      <c r="L53" s="8"/>
    </row>
    <row r="54">
      <c r="A54" s="39" t="s">
        <v>179</v>
      </c>
      <c r="B54" s="40" t="s">
        <v>108</v>
      </c>
      <c r="C54" s="23" t="s">
        <v>51</v>
      </c>
      <c r="D54" s="23">
        <v>5.0</v>
      </c>
      <c r="F54" s="12" t="s">
        <v>237</v>
      </c>
      <c r="G54" s="12" t="s">
        <v>175</v>
      </c>
      <c r="H54" s="12" t="s">
        <v>477</v>
      </c>
      <c r="I54" s="12" t="s">
        <v>123</v>
      </c>
      <c r="J54" s="12" t="s">
        <v>82</v>
      </c>
      <c r="K54" s="12" t="s">
        <v>186</v>
      </c>
      <c r="L54" s="8"/>
    </row>
    <row r="55">
      <c r="A55" s="39" t="s">
        <v>100</v>
      </c>
      <c r="B55" s="40" t="s">
        <v>108</v>
      </c>
      <c r="C55" s="23" t="s">
        <v>21</v>
      </c>
      <c r="D55" s="23">
        <v>7.0</v>
      </c>
      <c r="F55" s="12"/>
      <c r="G55" s="12"/>
      <c r="H55" s="12" t="s">
        <v>357</v>
      </c>
      <c r="I55" s="12" t="s">
        <v>356</v>
      </c>
      <c r="J55" s="12" t="s">
        <v>60</v>
      </c>
      <c r="K55" s="12" t="s">
        <v>102</v>
      </c>
      <c r="L55" s="8"/>
    </row>
    <row r="56">
      <c r="A56" s="12" t="s">
        <v>476</v>
      </c>
      <c r="B56" s="40" t="s">
        <v>108</v>
      </c>
      <c r="C56" s="8" t="s">
        <v>400</v>
      </c>
      <c r="D56" s="23">
        <v>8.0</v>
      </c>
      <c r="F56" s="12"/>
      <c r="G56" s="12"/>
      <c r="H56" s="12"/>
      <c r="I56" s="12"/>
      <c r="J56" s="12" t="s">
        <v>80</v>
      </c>
      <c r="K56" s="12"/>
      <c r="L56" s="8"/>
    </row>
    <row r="57">
      <c r="A57" s="62" t="s">
        <v>487</v>
      </c>
      <c r="B57" s="40" t="s">
        <v>108</v>
      </c>
      <c r="C57" s="23" t="s">
        <v>44</v>
      </c>
      <c r="D57" s="23">
        <v>5.0</v>
      </c>
      <c r="F57" s="12"/>
      <c r="G57" s="12"/>
      <c r="H57" s="12"/>
      <c r="I57" s="12"/>
      <c r="J57" s="12" t="s">
        <v>418</v>
      </c>
      <c r="K57" s="12"/>
      <c r="L57" s="8"/>
    </row>
    <row r="58">
      <c r="A58" s="62" t="s">
        <v>477</v>
      </c>
      <c r="B58" s="40" t="s">
        <v>108</v>
      </c>
      <c r="C58" s="23" t="s">
        <v>59</v>
      </c>
      <c r="D58" s="23">
        <v>4.0</v>
      </c>
      <c r="F58" s="12"/>
      <c r="G58" s="12"/>
      <c r="H58" s="12"/>
      <c r="I58" s="12"/>
      <c r="J58" s="12" t="s">
        <v>147</v>
      </c>
      <c r="K58" s="12"/>
      <c r="L58" s="8"/>
    </row>
    <row r="59">
      <c r="A59" s="62" t="s">
        <v>147</v>
      </c>
      <c r="B59" s="40" t="s">
        <v>108</v>
      </c>
      <c r="C59" s="23" t="s">
        <v>63</v>
      </c>
      <c r="D59" s="23">
        <v>7.0</v>
      </c>
      <c r="F59" s="12"/>
      <c r="G59" s="12"/>
      <c r="H59" s="12"/>
      <c r="I59" s="12"/>
      <c r="J59" s="12"/>
      <c r="K59" s="12"/>
      <c r="L59" s="8"/>
    </row>
    <row r="60">
      <c r="A60" s="94" t="s">
        <v>103</v>
      </c>
      <c r="B60" s="64" t="s">
        <v>187</v>
      </c>
      <c r="C60" s="65" t="s">
        <v>395</v>
      </c>
      <c r="D60" s="65">
        <v>200.0</v>
      </c>
      <c r="F60" s="60"/>
      <c r="G60" s="8"/>
      <c r="H60" s="8"/>
      <c r="I60" s="8"/>
      <c r="J60" s="8"/>
      <c r="K60" s="8"/>
      <c r="L60" s="8"/>
    </row>
    <row r="61">
      <c r="A61" s="12"/>
      <c r="B61" s="46"/>
      <c r="C61" s="12"/>
      <c r="F61" s="60"/>
      <c r="G61" s="8"/>
      <c r="H61" s="8"/>
      <c r="I61" s="8"/>
      <c r="J61" s="8"/>
      <c r="K61" s="8"/>
      <c r="L61" s="8"/>
    </row>
    <row r="62">
      <c r="A62" s="12"/>
      <c r="B62" s="46"/>
      <c r="D62" s="88">
        <f>sum(D16:D60)</f>
        <v>2317</v>
      </c>
      <c r="F62" s="8"/>
      <c r="G62" s="8"/>
      <c r="H62" s="8"/>
      <c r="I62" s="8"/>
      <c r="J62" s="8"/>
      <c r="K62" s="8"/>
      <c r="L62" s="8"/>
    </row>
    <row r="63">
      <c r="A63" s="47" t="s">
        <v>105</v>
      </c>
      <c r="B63" s="47"/>
      <c r="C63" s="89" t="s">
        <v>106</v>
      </c>
      <c r="D63" s="90" t="str">
        <f>if(G36-D62=0,"No","Yes")</f>
        <v>No</v>
      </c>
      <c r="F63" s="8"/>
      <c r="G63" s="8"/>
      <c r="H63" s="8"/>
      <c r="I63" s="8"/>
      <c r="J63" s="8"/>
      <c r="K63" s="8"/>
      <c r="L63" s="8"/>
    </row>
    <row r="64">
      <c r="A64" s="12" t="s">
        <v>553</v>
      </c>
      <c r="B64" s="21"/>
      <c r="G64" s="8"/>
      <c r="H64" s="8"/>
      <c r="I64" s="8"/>
      <c r="J64" s="8"/>
      <c r="K64" s="8"/>
      <c r="L64" s="8"/>
    </row>
    <row r="65">
      <c r="A65" s="12" t="s">
        <v>554</v>
      </c>
      <c r="B65" s="21"/>
      <c r="F65" s="8"/>
      <c r="G65" s="8"/>
      <c r="H65" s="8"/>
      <c r="I65" s="8"/>
      <c r="J65" s="8"/>
      <c r="K65" s="8"/>
      <c r="L65" s="8"/>
    </row>
    <row r="66">
      <c r="A66" s="12" t="s">
        <v>555</v>
      </c>
      <c r="B66" s="21"/>
      <c r="C66" s="12"/>
      <c r="F66" s="8"/>
      <c r="G66" s="8"/>
      <c r="H66" s="8"/>
      <c r="I66" s="8"/>
      <c r="J66" s="8"/>
      <c r="K66" s="8"/>
      <c r="L66" s="8"/>
    </row>
    <row r="67">
      <c r="A67" s="12" t="s">
        <v>556</v>
      </c>
      <c r="B67" s="21"/>
      <c r="C67" s="12"/>
      <c r="G67" s="8"/>
      <c r="H67" s="8"/>
      <c r="I67" s="8"/>
      <c r="J67" s="8"/>
      <c r="K67" s="8"/>
      <c r="L67" s="8"/>
    </row>
    <row r="68">
      <c r="A68" s="12" t="s">
        <v>557</v>
      </c>
      <c r="B68" s="46"/>
      <c r="G68" s="8"/>
      <c r="H68" s="8"/>
      <c r="I68" s="8"/>
      <c r="J68" s="8"/>
      <c r="K68" s="8"/>
      <c r="L68" s="8"/>
    </row>
    <row r="69">
      <c r="A69" s="12" t="s">
        <v>558</v>
      </c>
      <c r="B69" s="21"/>
      <c r="F69" s="12"/>
      <c r="G69" s="8"/>
      <c r="H69" s="8"/>
      <c r="I69" s="8"/>
      <c r="J69" s="8"/>
      <c r="K69" s="8"/>
      <c r="L69" s="8"/>
    </row>
    <row r="70">
      <c r="A70" s="12" t="s">
        <v>559</v>
      </c>
      <c r="B70" s="21"/>
      <c r="F70" s="8"/>
      <c r="G70" s="8"/>
      <c r="H70" s="8"/>
      <c r="I70" s="8"/>
      <c r="J70" s="8"/>
      <c r="K70" s="8"/>
      <c r="L70" s="8"/>
    </row>
    <row r="71">
      <c r="A71" s="12" t="s">
        <v>560</v>
      </c>
      <c r="B71" s="21"/>
      <c r="C71" s="12"/>
      <c r="F71" s="8"/>
      <c r="G71" s="8"/>
      <c r="H71" s="8"/>
      <c r="I71" s="8"/>
      <c r="J71" s="8"/>
      <c r="K71" s="8"/>
      <c r="L71" s="8"/>
    </row>
    <row r="72">
      <c r="A72" s="12" t="s">
        <v>561</v>
      </c>
      <c r="B72" s="21"/>
      <c r="C72" s="12"/>
      <c r="F72" s="8"/>
      <c r="G72" s="8"/>
      <c r="H72" s="8"/>
      <c r="I72" s="8"/>
      <c r="J72" s="8"/>
      <c r="K72" s="8"/>
      <c r="L72" s="8"/>
    </row>
    <row r="73">
      <c r="A73" s="12" t="s">
        <v>562</v>
      </c>
      <c r="B73" s="21"/>
      <c r="C73" s="12"/>
      <c r="F73" s="8"/>
      <c r="G73" s="8"/>
      <c r="H73" s="8"/>
      <c r="I73" s="8"/>
      <c r="J73" s="8"/>
      <c r="K73" s="8"/>
      <c r="L73" s="8"/>
    </row>
    <row r="74">
      <c r="A74" s="12" t="s">
        <v>563</v>
      </c>
      <c r="B74" s="21"/>
      <c r="C74" s="12"/>
      <c r="F74" s="8"/>
      <c r="G74" s="8"/>
      <c r="H74" s="8"/>
      <c r="I74" s="8"/>
      <c r="J74" s="8"/>
      <c r="K74" s="8"/>
      <c r="L74" s="8"/>
    </row>
    <row r="75">
      <c r="A75" s="12" t="s">
        <v>564</v>
      </c>
      <c r="B75" s="21"/>
      <c r="C75" s="12"/>
      <c r="F75" s="8"/>
      <c r="G75" s="8"/>
      <c r="H75" s="8"/>
      <c r="I75" s="8"/>
      <c r="J75" s="8"/>
      <c r="K75" s="8"/>
      <c r="L75" s="8"/>
    </row>
    <row r="76">
      <c r="A76" s="12" t="s">
        <v>565</v>
      </c>
      <c r="B76" s="46"/>
      <c r="C76" s="12"/>
      <c r="F76" s="8"/>
      <c r="G76" s="8"/>
      <c r="H76" s="8"/>
      <c r="I76" s="8"/>
      <c r="J76" s="8"/>
      <c r="K76" s="8"/>
      <c r="L76" s="8"/>
    </row>
    <row r="77">
      <c r="A77" s="12" t="s">
        <v>566</v>
      </c>
      <c r="B77" s="21"/>
      <c r="C77" s="12"/>
      <c r="F77" s="8"/>
      <c r="G77" s="8"/>
      <c r="H77" s="8"/>
      <c r="I77" s="8"/>
      <c r="J77" s="8"/>
      <c r="K77" s="8"/>
      <c r="L77" s="8"/>
    </row>
    <row r="78">
      <c r="A78" s="12" t="s">
        <v>567</v>
      </c>
      <c r="B78" s="21"/>
      <c r="C78" s="12"/>
      <c r="F78" s="8"/>
      <c r="G78" s="8"/>
      <c r="H78" s="8"/>
      <c r="I78" s="8"/>
      <c r="J78" s="8"/>
      <c r="K78" s="8"/>
      <c r="L78" s="8"/>
    </row>
    <row r="79">
      <c r="A79" s="12" t="s">
        <v>568</v>
      </c>
      <c r="B79" s="21"/>
      <c r="C79" s="12"/>
      <c r="F79" s="8"/>
      <c r="G79" s="8"/>
      <c r="H79" s="8"/>
      <c r="I79" s="8"/>
      <c r="J79" s="8"/>
      <c r="K79" s="8"/>
      <c r="L79" s="8"/>
    </row>
    <row r="80">
      <c r="A80" s="12" t="s">
        <v>569</v>
      </c>
      <c r="B80" s="21"/>
      <c r="C80" s="12"/>
      <c r="F80" s="8"/>
      <c r="G80" s="8"/>
      <c r="H80" s="8"/>
      <c r="I80" s="8"/>
      <c r="J80" s="8"/>
      <c r="K80" s="8"/>
      <c r="L80" s="8"/>
    </row>
    <row r="81">
      <c r="A81" s="12" t="s">
        <v>570</v>
      </c>
      <c r="B81" s="21"/>
      <c r="C81" s="12"/>
      <c r="F81" s="8"/>
      <c r="G81" s="8"/>
      <c r="H81" s="8"/>
      <c r="I81" s="8"/>
      <c r="J81" s="8"/>
      <c r="K81" s="8"/>
      <c r="L81" s="8"/>
    </row>
    <row r="82">
      <c r="A82" s="12" t="s">
        <v>571</v>
      </c>
      <c r="B82" s="21"/>
      <c r="C82" s="12"/>
      <c r="F82" s="8"/>
      <c r="G82" s="8"/>
      <c r="H82" s="8"/>
      <c r="I82" s="8"/>
      <c r="J82" s="8"/>
      <c r="K82" s="8"/>
      <c r="L82" s="8"/>
    </row>
    <row r="83">
      <c r="A83" s="12" t="s">
        <v>572</v>
      </c>
      <c r="B83" s="21"/>
      <c r="C83" s="12"/>
      <c r="F83" s="8"/>
      <c r="G83" s="8"/>
      <c r="H83" s="8"/>
      <c r="I83" s="8"/>
      <c r="J83" s="8"/>
      <c r="K83" s="8"/>
      <c r="L83" s="8"/>
    </row>
    <row r="84">
      <c r="A84" s="12" t="s">
        <v>573</v>
      </c>
      <c r="B84" s="21"/>
      <c r="C84" s="12"/>
      <c r="F84" s="8"/>
      <c r="G84" s="8"/>
      <c r="H84" s="8"/>
      <c r="I84" s="8"/>
      <c r="J84" s="8"/>
      <c r="K84" s="8"/>
      <c r="L84" s="8"/>
    </row>
    <row r="85">
      <c r="A85" s="12" t="s">
        <v>574</v>
      </c>
      <c r="B85" s="21"/>
      <c r="C85" s="12"/>
      <c r="F85" s="8"/>
      <c r="G85" s="8"/>
      <c r="H85" s="8"/>
      <c r="I85" s="8"/>
      <c r="J85" s="8"/>
      <c r="K85" s="8"/>
      <c r="L85" s="8"/>
    </row>
    <row r="86">
      <c r="A86" s="12" t="s">
        <v>575</v>
      </c>
      <c r="B86" s="21"/>
      <c r="C86" s="12"/>
      <c r="F86" s="8"/>
      <c r="G86" s="8"/>
      <c r="H86" s="8"/>
      <c r="I86" s="8"/>
      <c r="J86" s="8"/>
      <c r="K86" s="8"/>
      <c r="L86" s="8"/>
    </row>
    <row r="87">
      <c r="A87" s="12" t="s">
        <v>576</v>
      </c>
      <c r="B87" s="21"/>
      <c r="C87" s="12"/>
      <c r="F87" s="8"/>
      <c r="G87" s="8"/>
      <c r="H87" s="8"/>
      <c r="I87" s="8"/>
      <c r="J87" s="8"/>
      <c r="K87" s="8"/>
      <c r="L87" s="8"/>
    </row>
    <row r="88">
      <c r="A88" s="12" t="s">
        <v>577</v>
      </c>
      <c r="B88" s="21"/>
      <c r="C88" s="12"/>
      <c r="F88" s="8"/>
      <c r="G88" s="8"/>
      <c r="H88" s="8"/>
      <c r="I88" s="8"/>
      <c r="J88" s="8"/>
      <c r="K88" s="8"/>
      <c r="L88" s="8"/>
    </row>
    <row r="89">
      <c r="A89" s="12" t="s">
        <v>578</v>
      </c>
      <c r="B89" s="21"/>
      <c r="C89" s="12"/>
      <c r="F89" s="8"/>
      <c r="G89" s="8"/>
      <c r="H89" s="8"/>
      <c r="I89" s="8"/>
      <c r="J89" s="8"/>
      <c r="K89" s="8"/>
      <c r="L89" s="8"/>
    </row>
    <row r="90">
      <c r="A90" s="12" t="s">
        <v>579</v>
      </c>
      <c r="B90" s="21"/>
      <c r="C90" s="12"/>
      <c r="F90" s="8"/>
      <c r="G90" s="8"/>
      <c r="H90" s="8"/>
      <c r="I90" s="8"/>
      <c r="J90" s="8"/>
      <c r="K90" s="8"/>
      <c r="L90" s="8"/>
    </row>
    <row r="91">
      <c r="A91" s="12" t="s">
        <v>580</v>
      </c>
      <c r="B91" s="21"/>
      <c r="C91" s="12"/>
      <c r="F91" s="8"/>
      <c r="G91" s="8"/>
      <c r="H91" s="8"/>
      <c r="I91" s="8"/>
      <c r="J91" s="8"/>
      <c r="K91" s="8"/>
      <c r="L91" s="8"/>
    </row>
    <row r="92">
      <c r="A92" s="12" t="s">
        <v>581</v>
      </c>
      <c r="B92" s="21"/>
      <c r="C92" s="12"/>
      <c r="F92" s="8"/>
      <c r="G92" s="8"/>
      <c r="H92" s="8"/>
      <c r="I92" s="8"/>
      <c r="J92" s="8"/>
      <c r="K92" s="8"/>
      <c r="L92" s="8"/>
    </row>
    <row r="93">
      <c r="A93" s="12" t="s">
        <v>582</v>
      </c>
      <c r="B93" s="21"/>
      <c r="C93" s="12"/>
      <c r="F93" s="8"/>
      <c r="G93" s="8"/>
      <c r="H93" s="8"/>
      <c r="I93" s="8"/>
      <c r="J93" s="8"/>
      <c r="K93" s="8"/>
      <c r="L93" s="8"/>
    </row>
    <row r="94">
      <c r="A94" s="12" t="s">
        <v>583</v>
      </c>
      <c r="B94" s="21"/>
      <c r="C94" s="12"/>
      <c r="F94" s="8"/>
      <c r="G94" s="8"/>
      <c r="H94" s="8"/>
      <c r="I94" s="8"/>
      <c r="J94" s="8"/>
      <c r="K94" s="8"/>
      <c r="L94" s="8"/>
    </row>
    <row r="95">
      <c r="A95" s="12" t="s">
        <v>584</v>
      </c>
      <c r="B95" s="21"/>
      <c r="C95" s="12"/>
      <c r="F95" s="8"/>
      <c r="G95" s="8"/>
      <c r="H95" s="8"/>
      <c r="I95" s="8"/>
      <c r="J95" s="8"/>
      <c r="K95" s="8"/>
      <c r="L95" s="8"/>
    </row>
    <row r="96">
      <c r="A96" s="12" t="s">
        <v>585</v>
      </c>
      <c r="B96" s="21"/>
      <c r="C96" s="12"/>
      <c r="F96" s="8"/>
      <c r="G96" s="8"/>
      <c r="H96" s="8"/>
      <c r="I96" s="8"/>
      <c r="J96" s="8"/>
      <c r="K96" s="8"/>
      <c r="L96" s="8"/>
    </row>
    <row r="97">
      <c r="A97" s="12" t="s">
        <v>586</v>
      </c>
      <c r="B97" s="46"/>
      <c r="C97" s="12"/>
      <c r="F97" s="8"/>
      <c r="G97" s="8"/>
      <c r="H97" s="8"/>
      <c r="I97" s="8"/>
      <c r="J97" s="8"/>
      <c r="K97" s="8"/>
      <c r="L97" s="8"/>
    </row>
    <row r="98">
      <c r="A98" s="12" t="s">
        <v>587</v>
      </c>
      <c r="B98" s="46"/>
      <c r="C98" s="12"/>
      <c r="F98" s="8"/>
      <c r="G98" s="8"/>
      <c r="H98" s="8"/>
      <c r="I98" s="8"/>
      <c r="J98" s="8"/>
      <c r="K98" s="8"/>
      <c r="L98" s="8"/>
    </row>
    <row r="99">
      <c r="A99" s="12" t="s">
        <v>588</v>
      </c>
      <c r="B99" s="46"/>
      <c r="C99" s="12"/>
      <c r="F99" s="8"/>
      <c r="G99" s="8"/>
      <c r="H99" s="8"/>
      <c r="I99" s="8"/>
      <c r="J99" s="8"/>
      <c r="K99" s="8"/>
      <c r="L99" s="8"/>
    </row>
    <row r="100">
      <c r="A100" s="12" t="s">
        <v>589</v>
      </c>
      <c r="B100" s="46"/>
      <c r="C100" s="12"/>
      <c r="F100" s="8"/>
      <c r="G100" s="8"/>
      <c r="H100" s="8"/>
      <c r="I100" s="8"/>
      <c r="J100" s="8"/>
      <c r="K100" s="8"/>
      <c r="L100" s="8"/>
    </row>
    <row r="101">
      <c r="A101" s="12" t="s">
        <v>590</v>
      </c>
      <c r="B101" s="46"/>
      <c r="C101" s="12"/>
      <c r="F101" s="8"/>
      <c r="G101" s="8"/>
      <c r="H101" s="8"/>
      <c r="I101" s="8"/>
      <c r="J101" s="8"/>
      <c r="K101" s="8"/>
      <c r="L101" s="8"/>
    </row>
    <row r="102">
      <c r="A102" s="12" t="s">
        <v>591</v>
      </c>
      <c r="B102" s="46"/>
      <c r="C102" s="12"/>
      <c r="F102" s="8"/>
      <c r="G102" s="8"/>
      <c r="H102" s="8"/>
      <c r="I102" s="8"/>
      <c r="J102" s="8"/>
      <c r="K102" s="8"/>
      <c r="L102" s="8"/>
    </row>
    <row r="103">
      <c r="A103" s="12" t="s">
        <v>592</v>
      </c>
      <c r="B103" s="46"/>
      <c r="C103" s="12"/>
      <c r="F103" s="8"/>
      <c r="G103" s="8"/>
      <c r="H103" s="8"/>
      <c r="I103" s="8"/>
      <c r="J103" s="8"/>
      <c r="K103" s="8"/>
      <c r="L103" s="8"/>
    </row>
    <row r="104">
      <c r="A104" s="12" t="s">
        <v>593</v>
      </c>
      <c r="B104" s="46"/>
      <c r="C104" s="12"/>
      <c r="F104" s="8"/>
      <c r="G104" s="8"/>
      <c r="H104" s="8"/>
      <c r="I104" s="8"/>
      <c r="J104" s="8"/>
      <c r="K104" s="8"/>
      <c r="L104" s="8"/>
    </row>
    <row r="105">
      <c r="A105" s="12" t="s">
        <v>594</v>
      </c>
      <c r="B105" s="46"/>
      <c r="C105" s="12"/>
      <c r="F105" s="8"/>
      <c r="G105" s="8"/>
      <c r="H105" s="8"/>
      <c r="I105" s="8"/>
      <c r="J105" s="8"/>
      <c r="K105" s="8"/>
      <c r="L105" s="8"/>
    </row>
    <row r="106">
      <c r="B106" s="46"/>
      <c r="C106" s="12"/>
      <c r="F106" s="8"/>
      <c r="G106" s="8"/>
      <c r="H106" s="8"/>
      <c r="I106" s="8"/>
      <c r="J106" s="8"/>
      <c r="K106" s="8"/>
      <c r="L106" s="8"/>
    </row>
    <row r="107">
      <c r="A107" s="53" t="s">
        <v>595</v>
      </c>
      <c r="B107" s="46"/>
      <c r="C107" s="12"/>
      <c r="F107" s="8"/>
      <c r="G107" s="8"/>
      <c r="H107" s="8"/>
      <c r="I107" s="8"/>
      <c r="J107" s="8"/>
      <c r="K107" s="8"/>
      <c r="L107" s="8"/>
    </row>
    <row r="108">
      <c r="A108" s="12" t="s">
        <v>596</v>
      </c>
      <c r="B108" s="46"/>
      <c r="C108" s="12"/>
      <c r="F108" s="8"/>
      <c r="G108" s="8"/>
      <c r="H108" s="8"/>
      <c r="I108" s="8"/>
      <c r="J108" s="8"/>
      <c r="K108" s="8"/>
      <c r="L108" s="8"/>
    </row>
    <row r="109">
      <c r="A109" s="12" t="s">
        <v>597</v>
      </c>
      <c r="B109" s="46"/>
      <c r="C109" s="12"/>
      <c r="F109" s="8"/>
      <c r="G109" s="8"/>
      <c r="H109" s="8"/>
      <c r="I109" s="8"/>
      <c r="J109" s="8"/>
      <c r="K109" s="8"/>
      <c r="L109" s="8"/>
    </row>
    <row r="110">
      <c r="A110" s="12"/>
      <c r="B110" s="46"/>
      <c r="C110" s="12"/>
      <c r="F110" s="8"/>
      <c r="G110" s="8"/>
      <c r="H110" s="8"/>
      <c r="I110" s="8"/>
      <c r="J110" s="8"/>
      <c r="K110" s="8"/>
      <c r="L110" s="8"/>
    </row>
    <row r="111">
      <c r="A111" s="12"/>
      <c r="B111" s="46"/>
      <c r="C111" s="12"/>
      <c r="F111" s="8"/>
      <c r="G111" s="8"/>
      <c r="H111" s="8"/>
      <c r="I111" s="8"/>
      <c r="J111" s="8"/>
      <c r="K111" s="8"/>
      <c r="L111" s="8"/>
    </row>
    <row r="112">
      <c r="A112" s="12"/>
      <c r="B112" s="46"/>
      <c r="C112" s="12"/>
      <c r="F112" s="8"/>
      <c r="G112" s="8"/>
      <c r="H112" s="8"/>
      <c r="I112" s="8"/>
      <c r="J112" s="8"/>
      <c r="K112" s="8"/>
      <c r="L112" s="8"/>
    </row>
    <row r="113">
      <c r="A113" s="12"/>
      <c r="B113" s="46"/>
      <c r="C113" s="12"/>
      <c r="F113" s="8"/>
      <c r="G113" s="8"/>
      <c r="H113" s="8"/>
      <c r="I113" s="8"/>
      <c r="J113" s="8"/>
      <c r="K113" s="8"/>
      <c r="L113" s="8"/>
    </row>
  </sheetData>
  <mergeCells count="5">
    <mergeCell ref="A1:L1"/>
    <mergeCell ref="A2:L2"/>
    <mergeCell ref="A3:L3"/>
    <mergeCell ref="A4:L4"/>
    <mergeCell ref="J23:K23"/>
  </mergeCells>
  <conditionalFormatting sqref="D63">
    <cfRule type="cellIs" dxfId="0" priority="1" operator="equal">
      <formula>"Yes"</formula>
    </cfRule>
  </conditionalFormatting>
  <conditionalFormatting sqref="D63">
    <cfRule type="cellIs" dxfId="1" priority="2" operator="equal">
      <formula>"No"</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16" width="9.5"/>
  </cols>
  <sheetData>
    <row r="1">
      <c r="A1" s="95"/>
      <c r="B1" s="96" t="s">
        <v>598</v>
      </c>
      <c r="E1" s="96" t="s">
        <v>599</v>
      </c>
      <c r="H1" s="96" t="s">
        <v>600</v>
      </c>
      <c r="K1" s="96" t="s">
        <v>601</v>
      </c>
      <c r="N1" s="96" t="s">
        <v>602</v>
      </c>
    </row>
    <row r="2">
      <c r="A2" s="97" t="s">
        <v>603</v>
      </c>
      <c r="B2" s="97" t="s">
        <v>604</v>
      </c>
      <c r="C2" s="97" t="s">
        <v>605</v>
      </c>
      <c r="D2" s="98" t="s">
        <v>606</v>
      </c>
      <c r="E2" s="97" t="s">
        <v>604</v>
      </c>
      <c r="F2" s="97" t="s">
        <v>605</v>
      </c>
      <c r="G2" s="98" t="s">
        <v>606</v>
      </c>
      <c r="H2" s="97" t="s">
        <v>604</v>
      </c>
      <c r="I2" s="97" t="s">
        <v>605</v>
      </c>
      <c r="J2" s="98" t="s">
        <v>606</v>
      </c>
      <c r="K2" s="97" t="s">
        <v>604</v>
      </c>
      <c r="L2" s="97" t="s">
        <v>605</v>
      </c>
      <c r="M2" s="98" t="s">
        <v>606</v>
      </c>
      <c r="N2" s="97" t="s">
        <v>604</v>
      </c>
      <c r="O2" s="97" t="s">
        <v>605</v>
      </c>
      <c r="P2" s="98" t="s">
        <v>606</v>
      </c>
    </row>
    <row r="3">
      <c r="A3" s="21" t="s">
        <v>59</v>
      </c>
      <c r="B3" s="99" t="s">
        <v>187</v>
      </c>
      <c r="C3" s="99" t="s">
        <v>187</v>
      </c>
      <c r="D3" s="100" t="s">
        <v>187</v>
      </c>
      <c r="E3" s="99">
        <v>54.0</v>
      </c>
      <c r="F3" s="99">
        <v>438.0</v>
      </c>
      <c r="G3" s="100">
        <v>385.0</v>
      </c>
      <c r="H3" s="99">
        <v>15.0</v>
      </c>
      <c r="I3" s="99" t="s">
        <v>187</v>
      </c>
      <c r="J3" s="100">
        <v>-15.0</v>
      </c>
      <c r="K3" s="99">
        <v>5.0</v>
      </c>
      <c r="L3" s="99" t="s">
        <v>187</v>
      </c>
      <c r="M3" s="100">
        <v>-5.0</v>
      </c>
      <c r="N3" s="99">
        <v>74.0</v>
      </c>
      <c r="O3" s="99">
        <v>438.0</v>
      </c>
      <c r="P3" s="101">
        <v>365.0</v>
      </c>
    </row>
    <row r="4">
      <c r="A4" s="21" t="s">
        <v>607</v>
      </c>
      <c r="B4" s="99">
        <v>79.0</v>
      </c>
      <c r="C4" s="99">
        <v>405.0</v>
      </c>
      <c r="D4" s="100">
        <v>326.0</v>
      </c>
      <c r="E4" s="99">
        <v>57.0</v>
      </c>
      <c r="F4" s="99" t="s">
        <v>187</v>
      </c>
      <c r="G4" s="100">
        <v>-57.0</v>
      </c>
      <c r="H4" s="99" t="s">
        <v>187</v>
      </c>
      <c r="I4" s="99" t="s">
        <v>187</v>
      </c>
      <c r="J4" s="100" t="s">
        <v>187</v>
      </c>
      <c r="K4" s="99" t="s">
        <v>187</v>
      </c>
      <c r="L4" s="99" t="s">
        <v>187</v>
      </c>
      <c r="M4" s="100" t="s">
        <v>187</v>
      </c>
      <c r="N4" s="99">
        <v>136.0</v>
      </c>
      <c r="O4" s="99">
        <v>405.0</v>
      </c>
      <c r="P4" s="101">
        <v>269.0</v>
      </c>
    </row>
    <row r="5">
      <c r="A5" s="21" t="s">
        <v>608</v>
      </c>
      <c r="B5" s="99">
        <v>130.0</v>
      </c>
      <c r="C5" s="99">
        <v>304.0</v>
      </c>
      <c r="D5" s="100">
        <v>174.0</v>
      </c>
      <c r="E5" s="99">
        <v>184.0</v>
      </c>
      <c r="F5" s="99">
        <v>173.0</v>
      </c>
      <c r="G5" s="100">
        <v>-11.0</v>
      </c>
      <c r="H5" s="99">
        <v>186.0</v>
      </c>
      <c r="I5" s="99">
        <v>327.0</v>
      </c>
      <c r="J5" s="100">
        <v>141.0</v>
      </c>
      <c r="K5" s="99">
        <v>35.0</v>
      </c>
      <c r="L5" s="99" t="s">
        <v>187</v>
      </c>
      <c r="M5" s="100">
        <v>-35.0</v>
      </c>
      <c r="N5" s="99">
        <v>535.0</v>
      </c>
      <c r="O5" s="99">
        <v>803.0</v>
      </c>
      <c r="P5" s="101">
        <v>269.0</v>
      </c>
    </row>
    <row r="6">
      <c r="A6" s="21" t="s">
        <v>400</v>
      </c>
      <c r="B6" s="99">
        <v>92.0</v>
      </c>
      <c r="C6" s="99">
        <v>135.0</v>
      </c>
      <c r="D6" s="100">
        <v>43.0</v>
      </c>
      <c r="E6" s="99">
        <v>77.0</v>
      </c>
      <c r="F6" s="99">
        <v>27.0</v>
      </c>
      <c r="G6" s="100">
        <v>-50.0</v>
      </c>
      <c r="H6" s="99">
        <v>69.0</v>
      </c>
      <c r="I6" s="99">
        <v>283.0</v>
      </c>
      <c r="J6" s="100">
        <v>214.0</v>
      </c>
      <c r="K6" s="99">
        <v>65.0</v>
      </c>
      <c r="L6" s="99">
        <v>8.35</v>
      </c>
      <c r="M6" s="100">
        <v>-57.0</v>
      </c>
      <c r="N6" s="99">
        <v>303.0</v>
      </c>
      <c r="O6" s="99">
        <v>453.0</v>
      </c>
      <c r="P6" s="101">
        <v>150.0</v>
      </c>
    </row>
    <row r="7">
      <c r="A7" s="21" t="s">
        <v>609</v>
      </c>
      <c r="B7" s="99">
        <v>93.0</v>
      </c>
      <c r="C7" s="99" t="s">
        <v>187</v>
      </c>
      <c r="D7" s="100">
        <v>-93.0</v>
      </c>
      <c r="E7" s="99">
        <v>56.0</v>
      </c>
      <c r="F7" s="99" t="s">
        <v>187</v>
      </c>
      <c r="G7" s="100">
        <v>-56.0</v>
      </c>
      <c r="H7" s="99">
        <v>35.0</v>
      </c>
      <c r="I7" s="99">
        <v>196.0</v>
      </c>
      <c r="J7" s="100">
        <v>161.0</v>
      </c>
      <c r="K7" s="99">
        <v>33.0</v>
      </c>
      <c r="L7" s="99">
        <v>55.67</v>
      </c>
      <c r="M7" s="100">
        <v>23.0</v>
      </c>
      <c r="N7" s="99">
        <v>216.0</v>
      </c>
      <c r="O7" s="99">
        <v>252.0</v>
      </c>
      <c r="P7" s="101">
        <v>36.0</v>
      </c>
    </row>
    <row r="8">
      <c r="A8" s="21" t="s">
        <v>25</v>
      </c>
      <c r="B8" s="99" t="s">
        <v>187</v>
      </c>
      <c r="C8" s="99" t="s">
        <v>187</v>
      </c>
      <c r="D8" s="100" t="s">
        <v>187</v>
      </c>
      <c r="E8" s="99">
        <v>5.0</v>
      </c>
      <c r="F8" s="99" t="s">
        <v>187</v>
      </c>
      <c r="G8" s="100">
        <v>-5.0</v>
      </c>
      <c r="H8" s="99" t="s">
        <v>187</v>
      </c>
      <c r="I8" s="99" t="s">
        <v>187</v>
      </c>
      <c r="J8" s="100" t="s">
        <v>187</v>
      </c>
      <c r="K8" s="99" t="s">
        <v>187</v>
      </c>
      <c r="L8" s="99" t="s">
        <v>187</v>
      </c>
      <c r="M8" s="100" t="s">
        <v>187</v>
      </c>
      <c r="N8" s="99">
        <v>5.0</v>
      </c>
      <c r="O8" s="99" t="s">
        <v>187</v>
      </c>
      <c r="P8" s="101">
        <v>-5.0</v>
      </c>
    </row>
    <row r="9">
      <c r="A9" s="21" t="s">
        <v>53</v>
      </c>
      <c r="B9" s="99" t="s">
        <v>187</v>
      </c>
      <c r="C9" s="99" t="s">
        <v>187</v>
      </c>
      <c r="D9" s="100" t="s">
        <v>187</v>
      </c>
      <c r="E9" s="99">
        <v>8.0</v>
      </c>
      <c r="F9" s="99" t="s">
        <v>187</v>
      </c>
      <c r="G9" s="100">
        <v>-8.0</v>
      </c>
      <c r="H9" s="99" t="s">
        <v>187</v>
      </c>
      <c r="I9" s="99" t="s">
        <v>187</v>
      </c>
      <c r="J9" s="100" t="s">
        <v>187</v>
      </c>
      <c r="K9" s="99" t="s">
        <v>187</v>
      </c>
      <c r="L9" s="99" t="s">
        <v>187</v>
      </c>
      <c r="M9" s="100" t="s">
        <v>187</v>
      </c>
      <c r="N9" s="99">
        <v>8.0</v>
      </c>
      <c r="O9" s="99" t="s">
        <v>187</v>
      </c>
      <c r="P9" s="101">
        <v>-8.0</v>
      </c>
    </row>
    <row r="10">
      <c r="A10" s="21" t="s">
        <v>610</v>
      </c>
      <c r="B10" s="99">
        <v>15.0</v>
      </c>
      <c r="C10" s="99" t="s">
        <v>187</v>
      </c>
      <c r="D10" s="100">
        <v>-15.0</v>
      </c>
      <c r="E10" s="99" t="s">
        <v>187</v>
      </c>
      <c r="F10" s="99" t="s">
        <v>187</v>
      </c>
      <c r="G10" s="100" t="s">
        <v>187</v>
      </c>
      <c r="H10" s="99" t="s">
        <v>187</v>
      </c>
      <c r="I10" s="99" t="s">
        <v>187</v>
      </c>
      <c r="J10" s="100" t="s">
        <v>187</v>
      </c>
      <c r="K10" s="99">
        <v>17.0</v>
      </c>
      <c r="L10" s="99" t="s">
        <v>187</v>
      </c>
      <c r="M10" s="100">
        <v>-17.0</v>
      </c>
      <c r="N10" s="99">
        <v>32.0</v>
      </c>
      <c r="O10" s="99" t="s">
        <v>187</v>
      </c>
      <c r="P10" s="101">
        <v>-32.0</v>
      </c>
    </row>
    <row r="11">
      <c r="A11" s="21" t="s">
        <v>611</v>
      </c>
      <c r="B11" s="99">
        <v>35.0</v>
      </c>
      <c r="C11" s="99" t="s">
        <v>187</v>
      </c>
      <c r="D11" s="100">
        <v>-35.0</v>
      </c>
      <c r="E11" s="99" t="s">
        <v>187</v>
      </c>
      <c r="F11" s="99" t="s">
        <v>187</v>
      </c>
      <c r="G11" s="100" t="s">
        <v>187</v>
      </c>
      <c r="H11" s="99" t="s">
        <v>187</v>
      </c>
      <c r="I11" s="99" t="s">
        <v>187</v>
      </c>
      <c r="J11" s="100" t="s">
        <v>187</v>
      </c>
      <c r="K11" s="99" t="s">
        <v>187</v>
      </c>
      <c r="L11" s="99" t="s">
        <v>187</v>
      </c>
      <c r="M11" s="100" t="s">
        <v>187</v>
      </c>
      <c r="N11" s="99">
        <v>35.0</v>
      </c>
      <c r="O11" s="99" t="s">
        <v>187</v>
      </c>
      <c r="P11" s="101">
        <v>-35.0</v>
      </c>
    </row>
    <row r="12">
      <c r="A12" s="21" t="s">
        <v>612</v>
      </c>
      <c r="B12" s="99">
        <v>111.0</v>
      </c>
      <c r="C12" s="99">
        <v>304.0</v>
      </c>
      <c r="D12" s="100">
        <v>193.0</v>
      </c>
      <c r="E12" s="99">
        <v>101.0</v>
      </c>
      <c r="F12" s="99" t="s">
        <v>187</v>
      </c>
      <c r="G12" s="100">
        <v>-101.0</v>
      </c>
      <c r="H12" s="99">
        <v>118.0</v>
      </c>
      <c r="I12" s="99" t="s">
        <v>187</v>
      </c>
      <c r="J12" s="100">
        <v>-118.0</v>
      </c>
      <c r="K12" s="99">
        <v>12.0</v>
      </c>
      <c r="L12" s="99" t="s">
        <v>187</v>
      </c>
      <c r="M12" s="100">
        <v>-12.0</v>
      </c>
      <c r="N12" s="99">
        <v>341.0</v>
      </c>
      <c r="O12" s="99">
        <v>304.0</v>
      </c>
      <c r="P12" s="101">
        <v>-37.0</v>
      </c>
    </row>
    <row r="13">
      <c r="A13" s="21" t="s">
        <v>412</v>
      </c>
      <c r="B13" s="99">
        <v>36.0</v>
      </c>
      <c r="C13" s="99" t="s">
        <v>187</v>
      </c>
      <c r="D13" s="100">
        <v>-36.0</v>
      </c>
      <c r="E13" s="99">
        <v>7.0</v>
      </c>
      <c r="F13" s="99" t="s">
        <v>187</v>
      </c>
      <c r="G13" s="100">
        <v>-7.0</v>
      </c>
      <c r="H13" s="99">
        <v>3.0</v>
      </c>
      <c r="I13" s="99" t="s">
        <v>187</v>
      </c>
      <c r="J13" s="100">
        <v>-3.0</v>
      </c>
      <c r="K13" s="99" t="s">
        <v>187</v>
      </c>
      <c r="L13" s="99" t="s">
        <v>187</v>
      </c>
      <c r="M13" s="100" t="s">
        <v>187</v>
      </c>
      <c r="N13" s="99">
        <v>46.0</v>
      </c>
      <c r="O13" s="99" t="s">
        <v>187</v>
      </c>
      <c r="P13" s="101">
        <v>-46.0</v>
      </c>
    </row>
    <row r="14">
      <c r="A14" s="21" t="s">
        <v>56</v>
      </c>
      <c r="B14" s="99">
        <v>86.0</v>
      </c>
      <c r="C14" s="99" t="s">
        <v>187</v>
      </c>
      <c r="D14" s="100">
        <v>-86.0</v>
      </c>
      <c r="E14" s="99" t="s">
        <v>187</v>
      </c>
      <c r="F14" s="99" t="s">
        <v>187</v>
      </c>
      <c r="G14" s="100" t="s">
        <v>187</v>
      </c>
      <c r="H14" s="99">
        <v>2.0</v>
      </c>
      <c r="I14" s="99" t="s">
        <v>187</v>
      </c>
      <c r="J14" s="100">
        <v>-2.0</v>
      </c>
      <c r="K14" s="99" t="s">
        <v>187</v>
      </c>
      <c r="L14" s="99" t="s">
        <v>187</v>
      </c>
      <c r="M14" s="100" t="s">
        <v>187</v>
      </c>
      <c r="N14" s="99">
        <v>88.0</v>
      </c>
      <c r="O14" s="99" t="s">
        <v>187</v>
      </c>
      <c r="P14" s="101">
        <v>-88.0</v>
      </c>
    </row>
    <row r="15">
      <c r="A15" s="21" t="s">
        <v>613</v>
      </c>
      <c r="B15" s="99">
        <v>66.0</v>
      </c>
      <c r="C15" s="99" t="s">
        <v>187</v>
      </c>
      <c r="D15" s="100">
        <v>-66.0</v>
      </c>
      <c r="E15" s="99" t="s">
        <v>187</v>
      </c>
      <c r="F15" s="99" t="s">
        <v>187</v>
      </c>
      <c r="G15" s="100" t="s">
        <v>187</v>
      </c>
      <c r="H15" s="99">
        <v>63.0</v>
      </c>
      <c r="I15" s="99" t="s">
        <v>187</v>
      </c>
      <c r="J15" s="100">
        <v>-63.0</v>
      </c>
      <c r="K15" s="99" t="s">
        <v>187</v>
      </c>
      <c r="L15" s="99" t="s">
        <v>187</v>
      </c>
      <c r="M15" s="100" t="s">
        <v>187</v>
      </c>
      <c r="N15" s="99">
        <v>129.0</v>
      </c>
      <c r="O15" s="99" t="s">
        <v>187</v>
      </c>
      <c r="P15" s="101">
        <v>-129.0</v>
      </c>
    </row>
    <row r="16">
      <c r="A16" s="21" t="s">
        <v>28</v>
      </c>
      <c r="B16" s="99">
        <v>243.0</v>
      </c>
      <c r="C16" s="99">
        <v>203.0</v>
      </c>
      <c r="D16" s="100">
        <v>-41.0</v>
      </c>
      <c r="E16" s="99">
        <v>61.0</v>
      </c>
      <c r="F16" s="99">
        <v>80.0</v>
      </c>
      <c r="G16" s="100">
        <v>19.0</v>
      </c>
      <c r="H16" s="99">
        <v>152.0</v>
      </c>
      <c r="I16" s="99">
        <v>65.0</v>
      </c>
      <c r="J16" s="100">
        <v>-87.0</v>
      </c>
      <c r="K16" s="99">
        <v>59.0</v>
      </c>
      <c r="L16" s="99">
        <v>27.83</v>
      </c>
      <c r="M16" s="100">
        <v>-31.0</v>
      </c>
      <c r="N16" s="99">
        <v>515.0</v>
      </c>
      <c r="O16" s="99">
        <v>375.0</v>
      </c>
      <c r="P16" s="101">
        <v>-139.0</v>
      </c>
    </row>
    <row r="17">
      <c r="A17" s="21" t="s">
        <v>48</v>
      </c>
      <c r="B17" s="99">
        <v>229.0</v>
      </c>
      <c r="C17" s="99" t="s">
        <v>187</v>
      </c>
      <c r="D17" s="100">
        <v>-229.0</v>
      </c>
      <c r="E17" s="99">
        <v>88.0</v>
      </c>
      <c r="F17" s="99">
        <v>80.0</v>
      </c>
      <c r="G17" s="100">
        <v>-8.0</v>
      </c>
      <c r="H17" s="99">
        <v>122.0</v>
      </c>
      <c r="I17" s="99" t="s">
        <v>187</v>
      </c>
      <c r="J17" s="100">
        <v>-122.0</v>
      </c>
      <c r="K17" s="99">
        <v>48.0</v>
      </c>
      <c r="L17" s="99">
        <v>233.8</v>
      </c>
      <c r="M17" s="100">
        <v>186.0</v>
      </c>
      <c r="N17" s="99">
        <v>486.0</v>
      </c>
      <c r="O17" s="99">
        <v>314.0</v>
      </c>
      <c r="P17" s="101">
        <v>-173.0</v>
      </c>
    </row>
    <row r="18">
      <c r="A18" s="21" t="s">
        <v>614</v>
      </c>
      <c r="B18" s="99">
        <v>137.0</v>
      </c>
      <c r="C18" s="99" t="s">
        <v>187</v>
      </c>
      <c r="D18" s="102">
        <v>-137.0</v>
      </c>
      <c r="E18" s="99">
        <v>101.0</v>
      </c>
      <c r="F18" s="99" t="s">
        <v>187</v>
      </c>
      <c r="G18" s="102">
        <v>-101.0</v>
      </c>
      <c r="H18" s="99">
        <v>108.0</v>
      </c>
      <c r="I18" s="99" t="s">
        <v>187</v>
      </c>
      <c r="J18" s="102">
        <v>-108.0</v>
      </c>
      <c r="K18" s="99">
        <v>61.0</v>
      </c>
      <c r="L18" s="99">
        <v>8.35</v>
      </c>
      <c r="M18" s="102">
        <v>-53.0</v>
      </c>
      <c r="N18" s="99">
        <v>406.0</v>
      </c>
      <c r="O18" s="99">
        <v>8.0</v>
      </c>
      <c r="P18" s="103">
        <v>-397.0</v>
      </c>
    </row>
    <row r="19">
      <c r="A19" s="95"/>
      <c r="B19" s="95"/>
      <c r="C19" s="95"/>
      <c r="D19" s="95"/>
      <c r="E19" s="95"/>
      <c r="F19" s="95"/>
      <c r="G19" s="95"/>
      <c r="H19" s="95"/>
      <c r="I19" s="95"/>
      <c r="J19" s="95"/>
      <c r="K19" s="95"/>
      <c r="L19" s="95"/>
      <c r="M19" s="95"/>
      <c r="N19" s="95"/>
      <c r="O19" s="95"/>
      <c r="P19" s="95"/>
    </row>
    <row r="20">
      <c r="A20" s="104" t="s">
        <v>615</v>
      </c>
      <c r="B20" s="95"/>
      <c r="C20" s="95"/>
      <c r="D20" s="95"/>
      <c r="E20" s="95"/>
      <c r="F20" s="95"/>
      <c r="G20" s="95"/>
      <c r="H20" s="95"/>
      <c r="I20" s="95"/>
      <c r="J20" s="95"/>
      <c r="K20" s="95"/>
      <c r="L20" s="95"/>
      <c r="M20" s="95"/>
      <c r="N20" s="95"/>
      <c r="O20" s="95"/>
      <c r="P20" s="95"/>
    </row>
    <row r="21">
      <c r="A21" s="21" t="s">
        <v>616</v>
      </c>
      <c r="F21" s="95"/>
      <c r="G21" s="95"/>
      <c r="H21" s="95"/>
      <c r="I21" s="95"/>
      <c r="J21" s="95"/>
      <c r="K21" s="95"/>
      <c r="L21" s="95"/>
      <c r="M21" s="95"/>
      <c r="N21" s="95"/>
      <c r="O21" s="95"/>
      <c r="P21" s="95"/>
    </row>
  </sheetData>
  <mergeCells count="6">
    <mergeCell ref="B1:D1"/>
    <mergeCell ref="E1:G1"/>
    <mergeCell ref="H1:J1"/>
    <mergeCell ref="K1:M1"/>
    <mergeCell ref="N1:P1"/>
    <mergeCell ref="A21:E2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3" max="3" width="19.5"/>
    <col customWidth="1" min="6" max="6" width="17.5"/>
    <col customWidth="1" min="7" max="7" width="18.0"/>
    <col customWidth="1" min="8" max="8" width="18.75"/>
    <col customWidth="1" min="9" max="9" width="18.13"/>
    <col customWidth="1" min="10" max="10" width="18.0"/>
    <col customWidth="1" min="11" max="11" width="16.0"/>
  </cols>
  <sheetData>
    <row r="1">
      <c r="A1" s="1" t="s">
        <v>617</v>
      </c>
    </row>
    <row r="2">
      <c r="A2" s="2" t="s">
        <v>618</v>
      </c>
    </row>
    <row r="3">
      <c r="A3" s="3" t="s">
        <v>619</v>
      </c>
    </row>
    <row r="4">
      <c r="A4" s="3" t="s">
        <v>445</v>
      </c>
    </row>
    <row r="5">
      <c r="A5" s="4"/>
      <c r="B5" s="4"/>
      <c r="C5" s="4"/>
      <c r="D5" s="4"/>
      <c r="E5" s="4"/>
      <c r="F5" s="4"/>
      <c r="G5" s="4"/>
      <c r="H5" s="4"/>
      <c r="I5" s="4"/>
      <c r="J5" s="5"/>
      <c r="K5" s="5"/>
      <c r="L5" s="5"/>
    </row>
    <row r="6">
      <c r="A6" s="6" t="s">
        <v>4</v>
      </c>
    </row>
    <row r="7">
      <c r="A7" s="7" t="s">
        <v>620</v>
      </c>
      <c r="B7" s="7"/>
      <c r="C7" s="7"/>
      <c r="D7" s="7"/>
      <c r="E7" s="7"/>
      <c r="F7" s="7"/>
      <c r="G7" s="7"/>
      <c r="H7" s="7"/>
      <c r="I7" s="7"/>
      <c r="J7" s="7"/>
      <c r="K7" s="7"/>
      <c r="L7" s="7"/>
    </row>
    <row r="8">
      <c r="A8" s="8" t="s">
        <v>6</v>
      </c>
    </row>
    <row r="9">
      <c r="A9" s="8" t="s">
        <v>7</v>
      </c>
    </row>
    <row r="10">
      <c r="A10" s="8" t="s">
        <v>447</v>
      </c>
    </row>
    <row r="11">
      <c r="A11" s="8" t="s">
        <v>8</v>
      </c>
    </row>
    <row r="12">
      <c r="A12" s="8" t="s">
        <v>9</v>
      </c>
    </row>
    <row r="15">
      <c r="A15" s="9" t="s">
        <v>10</v>
      </c>
      <c r="B15" s="10" t="s">
        <v>11</v>
      </c>
      <c r="C15" s="10" t="s">
        <v>12</v>
      </c>
      <c r="D15" s="10" t="s">
        <v>13</v>
      </c>
      <c r="F15" s="11" t="s">
        <v>14</v>
      </c>
      <c r="G15" s="11" t="s">
        <v>15</v>
      </c>
      <c r="H15" s="11" t="s">
        <v>16</v>
      </c>
      <c r="J15" s="11" t="s">
        <v>17</v>
      </c>
      <c r="K15" s="11" t="s">
        <v>18</v>
      </c>
      <c r="L15" s="11" t="s">
        <v>19</v>
      </c>
    </row>
    <row r="16">
      <c r="A16" s="105" t="s">
        <v>67</v>
      </c>
      <c r="B16" s="22"/>
      <c r="C16" s="12" t="s">
        <v>621</v>
      </c>
      <c r="D16" s="82">
        <v>26.0</v>
      </c>
      <c r="E16" s="8"/>
      <c r="F16" s="16" t="s">
        <v>392</v>
      </c>
      <c r="G16" s="20">
        <f>71-12.5</f>
        <v>58.5</v>
      </c>
      <c r="H16" s="8"/>
      <c r="J16" s="8" t="s">
        <v>23</v>
      </c>
      <c r="K16" s="19">
        <v>0.45</v>
      </c>
      <c r="L16" s="8">
        <f t="shared" ref="L16:L20" si="1">K16*$D$52</f>
        <v>150.3</v>
      </c>
    </row>
    <row r="17">
      <c r="A17" s="105" t="s">
        <v>123</v>
      </c>
      <c r="B17" s="22"/>
      <c r="C17" s="12" t="s">
        <v>622</v>
      </c>
      <c r="D17" s="82">
        <v>17.0</v>
      </c>
      <c r="E17" s="8"/>
      <c r="F17" s="16" t="s">
        <v>393</v>
      </c>
      <c r="G17" s="20">
        <f>13-1.5</f>
        <v>11.5</v>
      </c>
      <c r="H17" s="8"/>
      <c r="I17" s="8"/>
      <c r="J17" s="8" t="s">
        <v>26</v>
      </c>
      <c r="K17" s="19">
        <v>0.25</v>
      </c>
      <c r="L17" s="8">
        <f t="shared" si="1"/>
        <v>83.5</v>
      </c>
    </row>
    <row r="18">
      <c r="A18" s="105" t="s">
        <v>27</v>
      </c>
      <c r="B18" s="22"/>
      <c r="C18" s="12" t="s">
        <v>28</v>
      </c>
      <c r="D18" s="82">
        <v>17.0</v>
      </c>
      <c r="E18" s="8"/>
      <c r="F18" s="16" t="s">
        <v>408</v>
      </c>
      <c r="G18" s="20">
        <v>5.0</v>
      </c>
      <c r="H18" s="8"/>
      <c r="I18" s="8"/>
      <c r="J18" s="8" t="s">
        <v>29</v>
      </c>
      <c r="K18" s="19">
        <v>0.15</v>
      </c>
      <c r="L18" s="8">
        <f t="shared" si="1"/>
        <v>50.1</v>
      </c>
    </row>
    <row r="19">
      <c r="A19" s="105" t="s">
        <v>237</v>
      </c>
      <c r="B19" s="25"/>
      <c r="C19" s="12" t="s">
        <v>614</v>
      </c>
      <c r="D19" s="82">
        <v>18.0</v>
      </c>
      <c r="E19" s="8"/>
      <c r="F19" s="16" t="s">
        <v>410</v>
      </c>
      <c r="G19" s="20">
        <v>61.0</v>
      </c>
      <c r="H19" s="8"/>
      <c r="I19" s="8"/>
      <c r="J19" s="8" t="s">
        <v>32</v>
      </c>
      <c r="K19" s="19">
        <v>0.1</v>
      </c>
      <c r="L19" s="8">
        <f t="shared" si="1"/>
        <v>33.4</v>
      </c>
    </row>
    <row r="20">
      <c r="A20" s="105" t="s">
        <v>69</v>
      </c>
      <c r="B20" s="25"/>
      <c r="C20" s="12" t="s">
        <v>608</v>
      </c>
      <c r="D20" s="82">
        <v>10.0</v>
      </c>
      <c r="E20" s="8"/>
      <c r="F20" s="16" t="s">
        <v>401</v>
      </c>
      <c r="G20" s="20">
        <v>35.0</v>
      </c>
      <c r="H20" s="8"/>
      <c r="I20" s="8"/>
      <c r="J20" s="8" t="s">
        <v>36</v>
      </c>
      <c r="K20" s="19">
        <v>0.05</v>
      </c>
      <c r="L20" s="8">
        <f t="shared" si="1"/>
        <v>16.7</v>
      </c>
    </row>
    <row r="21">
      <c r="A21" s="105" t="s">
        <v>57</v>
      </c>
      <c r="B21" s="25"/>
      <c r="C21" s="12" t="s">
        <v>400</v>
      </c>
      <c r="D21" s="82">
        <v>13.0</v>
      </c>
      <c r="E21" s="8"/>
      <c r="F21" s="16" t="s">
        <v>404</v>
      </c>
      <c r="G21" s="20">
        <v>33.0</v>
      </c>
      <c r="H21" s="8"/>
      <c r="I21" s="8"/>
      <c r="J21" s="8"/>
      <c r="K21" s="8"/>
      <c r="L21" s="8"/>
    </row>
    <row r="22">
      <c r="A22" s="105" t="s">
        <v>24</v>
      </c>
      <c r="B22" s="25"/>
      <c r="C22" s="12" t="s">
        <v>614</v>
      </c>
      <c r="D22" s="82">
        <v>9.0</v>
      </c>
      <c r="E22" s="8"/>
      <c r="F22" s="16" t="s">
        <v>402</v>
      </c>
      <c r="G22" s="20">
        <f>34+12.5+1.5</f>
        <v>48</v>
      </c>
      <c r="H22" s="8"/>
      <c r="I22" s="16"/>
      <c r="J22" s="20"/>
      <c r="K22" s="8"/>
      <c r="L22" s="8"/>
    </row>
    <row r="23">
      <c r="A23" s="105" t="s">
        <v>369</v>
      </c>
      <c r="B23" s="25"/>
      <c r="C23" s="12" t="s">
        <v>28</v>
      </c>
      <c r="D23" s="82">
        <v>6.0</v>
      </c>
      <c r="E23" s="8"/>
      <c r="F23" s="16" t="s">
        <v>400</v>
      </c>
      <c r="G23" s="20">
        <v>65.0</v>
      </c>
      <c r="H23" s="8"/>
      <c r="I23" s="8"/>
      <c r="J23" s="26" t="s">
        <v>45</v>
      </c>
      <c r="K23" s="27"/>
      <c r="L23" s="8"/>
    </row>
    <row r="24">
      <c r="A24" s="105" t="s">
        <v>52</v>
      </c>
      <c r="B24" s="25"/>
      <c r="C24" s="12" t="s">
        <v>609</v>
      </c>
      <c r="D24" s="82">
        <v>7.0</v>
      </c>
      <c r="E24" s="8"/>
      <c r="F24" s="106" t="s">
        <v>449</v>
      </c>
      <c r="G24" s="107">
        <v>17.0</v>
      </c>
      <c r="H24" s="8"/>
      <c r="I24" s="8"/>
      <c r="J24" s="66">
        <v>1.0</v>
      </c>
      <c r="K24" s="66" t="s">
        <v>82</v>
      </c>
      <c r="L24" s="8" t="s">
        <v>48</v>
      </c>
      <c r="M24" s="108">
        <f>L16</f>
        <v>150.3</v>
      </c>
    </row>
    <row r="25">
      <c r="A25" s="105" t="s">
        <v>93</v>
      </c>
      <c r="B25" s="25"/>
      <c r="C25" s="12" t="s">
        <v>400</v>
      </c>
      <c r="D25" s="82">
        <v>12.0</v>
      </c>
      <c r="E25" s="8"/>
      <c r="F25" s="109" t="s">
        <v>73</v>
      </c>
      <c r="G25" s="110">
        <f>sum(G16:G24)</f>
        <v>334</v>
      </c>
      <c r="H25" s="8"/>
      <c r="I25" s="8"/>
      <c r="J25" s="73" t="s">
        <v>263</v>
      </c>
      <c r="K25" s="73" t="s">
        <v>623</v>
      </c>
      <c r="L25" s="8" t="s">
        <v>624</v>
      </c>
      <c r="M25" s="111">
        <f>sum(L17:L19)/3</f>
        <v>55.66666667</v>
      </c>
      <c r="N25" s="8">
        <f>M25/2</f>
        <v>27.83333333</v>
      </c>
      <c r="O25" s="8" t="s">
        <v>625</v>
      </c>
    </row>
    <row r="26">
      <c r="A26" s="105" t="s">
        <v>131</v>
      </c>
      <c r="B26" s="25"/>
      <c r="C26" s="12" t="s">
        <v>614</v>
      </c>
      <c r="D26" s="82">
        <v>8.0</v>
      </c>
      <c r="E26" s="8"/>
      <c r="F26" s="34"/>
      <c r="G26" s="20"/>
      <c r="H26" s="8"/>
      <c r="J26" s="66" t="s">
        <v>263</v>
      </c>
      <c r="K26" s="66" t="s">
        <v>60</v>
      </c>
      <c r="L26" s="8" t="s">
        <v>48</v>
      </c>
      <c r="M26" s="111">
        <f>sum(L17:L19)/3</f>
        <v>55.66666667</v>
      </c>
    </row>
    <row r="27">
      <c r="A27" s="105" t="s">
        <v>80</v>
      </c>
      <c r="B27" s="25"/>
      <c r="C27" s="12" t="s">
        <v>28</v>
      </c>
      <c r="D27" s="82">
        <v>8.0</v>
      </c>
      <c r="E27" s="8"/>
      <c r="F27" s="34"/>
      <c r="G27" s="20"/>
      <c r="H27" s="8"/>
      <c r="J27" s="73" t="s">
        <v>263</v>
      </c>
      <c r="K27" s="73" t="s">
        <v>267</v>
      </c>
      <c r="L27" s="8" t="s">
        <v>609</v>
      </c>
      <c r="M27" s="111">
        <f>sum(L17:L19)/3</f>
        <v>55.66666667</v>
      </c>
    </row>
    <row r="28">
      <c r="A28" s="105" t="s">
        <v>309</v>
      </c>
      <c r="B28" s="25"/>
      <c r="C28" s="12" t="s">
        <v>31</v>
      </c>
      <c r="D28" s="82">
        <v>10.0</v>
      </c>
      <c r="E28" s="8"/>
      <c r="I28" s="8"/>
      <c r="J28" s="66" t="s">
        <v>173</v>
      </c>
      <c r="K28" s="66" t="s">
        <v>237</v>
      </c>
      <c r="L28" s="8" t="s">
        <v>614</v>
      </c>
      <c r="M28" s="108">
        <f>L20/2</f>
        <v>8.35</v>
      </c>
    </row>
    <row r="29">
      <c r="A29" s="105" t="s">
        <v>356</v>
      </c>
      <c r="B29" s="25"/>
      <c r="C29" s="12" t="s">
        <v>400</v>
      </c>
      <c r="D29" s="82">
        <v>13.0</v>
      </c>
      <c r="E29" s="8"/>
      <c r="F29" s="16"/>
      <c r="G29" s="20"/>
      <c r="H29" s="8"/>
      <c r="I29" s="8"/>
      <c r="J29" s="73" t="s">
        <v>173</v>
      </c>
      <c r="K29" s="73" t="s">
        <v>57</v>
      </c>
      <c r="L29" s="8" t="s">
        <v>400</v>
      </c>
      <c r="M29" s="108">
        <f>L20/2</f>
        <v>8.35</v>
      </c>
    </row>
    <row r="30">
      <c r="A30" s="105" t="s">
        <v>310</v>
      </c>
      <c r="B30" s="25"/>
      <c r="C30" s="12" t="s">
        <v>609</v>
      </c>
      <c r="D30" s="82">
        <v>6.0</v>
      </c>
      <c r="E30" s="8"/>
      <c r="F30" s="16"/>
      <c r="G30" s="20"/>
      <c r="H30" s="8"/>
      <c r="I30" s="8"/>
      <c r="J30" s="60"/>
      <c r="K30" s="8"/>
      <c r="L30" s="112"/>
    </row>
    <row r="31">
      <c r="A31" s="105" t="s">
        <v>46</v>
      </c>
      <c r="B31" s="25"/>
      <c r="C31" s="12" t="s">
        <v>48</v>
      </c>
      <c r="D31" s="82">
        <v>7.0</v>
      </c>
      <c r="E31" s="8"/>
      <c r="F31" s="16"/>
      <c r="G31" s="20"/>
      <c r="H31" s="8"/>
      <c r="I31" s="8"/>
      <c r="J31" s="8"/>
      <c r="K31" s="8" t="s">
        <v>626</v>
      </c>
      <c r="L31" s="113">
        <f>M24+M26+N25</f>
        <v>233.8</v>
      </c>
    </row>
    <row r="32">
      <c r="A32" s="105" t="s">
        <v>102</v>
      </c>
      <c r="B32" s="25"/>
      <c r="C32" s="12" t="s">
        <v>28</v>
      </c>
      <c r="D32" s="82">
        <v>8.0</v>
      </c>
      <c r="E32" s="8"/>
      <c r="F32" s="16"/>
      <c r="G32" s="20"/>
      <c r="H32" s="8"/>
      <c r="I32" s="8"/>
      <c r="J32" s="8"/>
      <c r="K32" s="8" t="s">
        <v>627</v>
      </c>
      <c r="L32" s="113">
        <f>N25</f>
        <v>27.83333333</v>
      </c>
    </row>
    <row r="33">
      <c r="A33" s="105" t="s">
        <v>82</v>
      </c>
      <c r="B33" s="25"/>
      <c r="C33" s="12" t="s">
        <v>48</v>
      </c>
      <c r="D33" s="82">
        <v>11.0</v>
      </c>
      <c r="E33" s="8"/>
      <c r="F33" s="16"/>
      <c r="G33" s="20"/>
      <c r="H33" s="8"/>
      <c r="I33" s="16"/>
      <c r="J33" s="20"/>
      <c r="K33" s="8" t="s">
        <v>628</v>
      </c>
      <c r="L33" s="113">
        <f t="shared" ref="L33:L35" si="2">M27</f>
        <v>55.66666667</v>
      </c>
    </row>
    <row r="34">
      <c r="A34" s="105" t="s">
        <v>117</v>
      </c>
      <c r="B34" s="25"/>
      <c r="C34" s="12" t="s">
        <v>400</v>
      </c>
      <c r="D34" s="82">
        <v>7.0</v>
      </c>
      <c r="E34" s="8"/>
      <c r="F34" s="16"/>
      <c r="G34" s="20"/>
      <c r="H34" s="8"/>
      <c r="I34" s="8"/>
      <c r="J34" s="8"/>
      <c r="K34" s="8" t="s">
        <v>629</v>
      </c>
      <c r="L34">
        <f t="shared" si="2"/>
        <v>8.35</v>
      </c>
    </row>
    <row r="35">
      <c r="A35" s="105" t="s">
        <v>186</v>
      </c>
      <c r="B35" s="25"/>
      <c r="C35" s="12" t="s">
        <v>614</v>
      </c>
      <c r="D35" s="82">
        <v>8.0</v>
      </c>
      <c r="E35" s="8"/>
      <c r="F35" s="16"/>
      <c r="G35" s="20"/>
      <c r="H35" s="8"/>
      <c r="I35" s="8"/>
      <c r="J35" s="8"/>
      <c r="K35" s="8" t="s">
        <v>630</v>
      </c>
      <c r="L35" s="8">
        <f t="shared" si="2"/>
        <v>8.35</v>
      </c>
    </row>
    <row r="36">
      <c r="A36" s="105" t="s">
        <v>418</v>
      </c>
      <c r="B36" s="25"/>
      <c r="C36" s="12" t="s">
        <v>400</v>
      </c>
      <c r="D36" s="82">
        <v>6.0</v>
      </c>
      <c r="E36" s="8"/>
      <c r="F36" s="16"/>
      <c r="G36" s="20"/>
      <c r="H36" s="8"/>
      <c r="I36" s="8"/>
      <c r="J36" s="8"/>
      <c r="K36" s="89" t="s">
        <v>73</v>
      </c>
      <c r="L36" s="113">
        <f>sum(L31:L35)</f>
        <v>334</v>
      </c>
    </row>
    <row r="37">
      <c r="A37" s="105" t="s">
        <v>273</v>
      </c>
      <c r="B37" s="25"/>
      <c r="C37" s="12" t="s">
        <v>400</v>
      </c>
      <c r="D37" s="82">
        <v>8.0</v>
      </c>
      <c r="E37" s="8"/>
      <c r="F37" s="16"/>
      <c r="G37" s="8"/>
      <c r="H37" s="8"/>
      <c r="I37" s="8"/>
      <c r="J37" s="8"/>
      <c r="K37" s="8"/>
      <c r="L37" s="8"/>
    </row>
    <row r="38">
      <c r="A38" s="105" t="s">
        <v>147</v>
      </c>
      <c r="B38" s="25"/>
      <c r="C38" s="12" t="s">
        <v>614</v>
      </c>
      <c r="D38" s="82">
        <v>3.0</v>
      </c>
      <c r="E38" s="8"/>
      <c r="F38" s="38" t="s">
        <v>392</v>
      </c>
      <c r="G38" s="38" t="s">
        <v>631</v>
      </c>
      <c r="H38" s="114" t="s">
        <v>408</v>
      </c>
      <c r="I38" s="38" t="s">
        <v>410</v>
      </c>
      <c r="J38" s="38" t="s">
        <v>401</v>
      </c>
      <c r="K38" s="8"/>
      <c r="L38" s="8"/>
    </row>
    <row r="39">
      <c r="A39" s="105" t="s">
        <v>148</v>
      </c>
      <c r="B39" s="25"/>
      <c r="C39" s="12" t="s">
        <v>395</v>
      </c>
      <c r="D39" s="82">
        <v>4.0</v>
      </c>
      <c r="E39" s="8"/>
      <c r="F39" s="115" t="s">
        <v>27</v>
      </c>
      <c r="G39" s="115" t="s">
        <v>309</v>
      </c>
      <c r="H39" s="115" t="s">
        <v>76</v>
      </c>
      <c r="I39" s="115" t="s">
        <v>237</v>
      </c>
      <c r="J39" s="115" t="s">
        <v>69</v>
      </c>
      <c r="K39" s="8"/>
      <c r="L39" s="8"/>
    </row>
    <row r="40">
      <c r="A40" s="105" t="s">
        <v>465</v>
      </c>
      <c r="B40" s="25"/>
      <c r="C40" s="12" t="s">
        <v>632</v>
      </c>
      <c r="D40" s="82">
        <v>6.0</v>
      </c>
      <c r="E40" s="8"/>
      <c r="F40" s="115" t="s">
        <v>369</v>
      </c>
      <c r="G40" s="115" t="s">
        <v>633</v>
      </c>
      <c r="H40" s="115"/>
      <c r="I40" s="115" t="s">
        <v>24</v>
      </c>
      <c r="J40" s="115" t="s">
        <v>416</v>
      </c>
      <c r="K40" s="8"/>
      <c r="L40" s="8"/>
    </row>
    <row r="41">
      <c r="A41" s="105" t="s">
        <v>420</v>
      </c>
      <c r="B41" s="25"/>
      <c r="C41" s="12" t="s">
        <v>28</v>
      </c>
      <c r="D41" s="82">
        <v>7.0</v>
      </c>
      <c r="E41" s="8"/>
      <c r="F41" s="115" t="s">
        <v>80</v>
      </c>
      <c r="G41" s="115"/>
      <c r="H41" s="115"/>
      <c r="I41" s="115" t="s">
        <v>131</v>
      </c>
      <c r="J41" s="115" t="s">
        <v>100</v>
      </c>
      <c r="K41" s="8"/>
      <c r="L41" s="8"/>
    </row>
    <row r="42">
      <c r="A42" s="105" t="s">
        <v>60</v>
      </c>
      <c r="B42" s="25"/>
      <c r="C42" s="12" t="s">
        <v>48</v>
      </c>
      <c r="D42" s="82">
        <v>7.0</v>
      </c>
      <c r="E42" s="8"/>
      <c r="F42" s="115" t="s">
        <v>102</v>
      </c>
      <c r="G42" s="115"/>
      <c r="H42" s="115"/>
      <c r="I42" s="115" t="s">
        <v>186</v>
      </c>
      <c r="J42" s="115" t="s">
        <v>634</v>
      </c>
      <c r="K42" s="8"/>
      <c r="L42" s="8"/>
    </row>
    <row r="43">
      <c r="A43" s="105" t="s">
        <v>267</v>
      </c>
      <c r="B43" s="25"/>
      <c r="C43" s="12" t="s">
        <v>609</v>
      </c>
      <c r="D43" s="82">
        <v>7.0</v>
      </c>
      <c r="E43" s="8"/>
      <c r="F43" s="115" t="s">
        <v>420</v>
      </c>
      <c r="G43" s="115"/>
      <c r="H43" s="115"/>
      <c r="I43" s="115" t="s">
        <v>147</v>
      </c>
      <c r="J43" s="115"/>
      <c r="K43" s="8"/>
      <c r="L43" s="8"/>
    </row>
    <row r="44">
      <c r="A44" s="105" t="s">
        <v>416</v>
      </c>
      <c r="B44" s="25"/>
      <c r="C44" s="12" t="s">
        <v>608</v>
      </c>
      <c r="D44" s="82">
        <v>9.0</v>
      </c>
      <c r="E44" s="8"/>
      <c r="F44" s="115" t="s">
        <v>635</v>
      </c>
      <c r="G44" s="115"/>
      <c r="H44" s="115"/>
      <c r="I44" s="115" t="s">
        <v>144</v>
      </c>
      <c r="J44" s="115"/>
      <c r="K44" s="8"/>
      <c r="L44" s="8"/>
    </row>
    <row r="45">
      <c r="A45" s="105" t="s">
        <v>100</v>
      </c>
      <c r="B45" s="25"/>
      <c r="C45" s="12" t="s">
        <v>608</v>
      </c>
      <c r="D45" s="82">
        <v>3.0</v>
      </c>
      <c r="E45" s="8"/>
      <c r="F45" s="115"/>
      <c r="G45" s="115"/>
      <c r="H45" s="115"/>
      <c r="I45" s="115" t="s">
        <v>316</v>
      </c>
      <c r="J45" s="115"/>
      <c r="K45" s="8"/>
      <c r="L45" s="8"/>
    </row>
    <row r="46">
      <c r="A46" s="105" t="s">
        <v>476</v>
      </c>
      <c r="B46" s="25"/>
      <c r="C46" s="12" t="s">
        <v>636</v>
      </c>
      <c r="D46" s="82">
        <v>5.0</v>
      </c>
      <c r="E46" s="8"/>
      <c r="F46" s="115"/>
      <c r="G46" s="115"/>
      <c r="H46" s="115"/>
      <c r="I46" s="115" t="s">
        <v>465</v>
      </c>
      <c r="J46" s="115"/>
      <c r="K46" s="8"/>
      <c r="L46" s="8"/>
    </row>
    <row r="47">
      <c r="A47" s="105" t="s">
        <v>144</v>
      </c>
      <c r="B47" s="25"/>
      <c r="C47" s="12" t="s">
        <v>614</v>
      </c>
      <c r="D47" s="82">
        <v>5.0</v>
      </c>
      <c r="E47" s="8"/>
      <c r="H47" s="8"/>
      <c r="K47" s="8"/>
      <c r="L47" s="8"/>
    </row>
    <row r="48">
      <c r="A48" s="105" t="s">
        <v>76</v>
      </c>
      <c r="B48" s="25"/>
      <c r="C48" s="12" t="s">
        <v>59</v>
      </c>
      <c r="D48" s="82">
        <v>5.0</v>
      </c>
      <c r="E48" s="8"/>
      <c r="H48" s="8"/>
      <c r="K48" s="8"/>
      <c r="L48" s="8"/>
    </row>
    <row r="49">
      <c r="A49" s="105" t="s">
        <v>316</v>
      </c>
      <c r="B49" s="25"/>
      <c r="C49" s="12" t="s">
        <v>614</v>
      </c>
      <c r="D49" s="82">
        <v>4.0</v>
      </c>
      <c r="E49" s="8"/>
      <c r="F49" s="38" t="s">
        <v>404</v>
      </c>
      <c r="G49" s="38" t="s">
        <v>402</v>
      </c>
      <c r="H49" s="38" t="s">
        <v>400</v>
      </c>
      <c r="I49" s="38" t="s">
        <v>449</v>
      </c>
      <c r="L49" s="8"/>
    </row>
    <row r="50">
      <c r="A50" s="105" t="s">
        <v>283</v>
      </c>
      <c r="B50" s="25"/>
      <c r="C50" s="12" t="s">
        <v>31</v>
      </c>
      <c r="D50" s="82">
        <v>3.0</v>
      </c>
      <c r="E50" s="8"/>
      <c r="F50" s="115" t="s">
        <v>52</v>
      </c>
      <c r="G50" s="115" t="s">
        <v>476</v>
      </c>
      <c r="H50" s="115" t="s">
        <v>57</v>
      </c>
      <c r="I50" s="115" t="s">
        <v>123</v>
      </c>
      <c r="K50" s="8"/>
      <c r="L50" s="8"/>
    </row>
    <row r="51">
      <c r="A51" s="116" t="s">
        <v>422</v>
      </c>
      <c r="B51" s="117"/>
      <c r="C51" s="118" t="s">
        <v>400</v>
      </c>
      <c r="D51" s="119">
        <v>6.0</v>
      </c>
      <c r="E51" s="8"/>
      <c r="F51" s="115" t="s">
        <v>310</v>
      </c>
      <c r="G51" s="115" t="s">
        <v>46</v>
      </c>
      <c r="H51" s="115" t="s">
        <v>93</v>
      </c>
      <c r="I51" s="115"/>
      <c r="K51" s="8"/>
      <c r="L51" s="8"/>
    </row>
    <row r="52">
      <c r="A52" s="12"/>
      <c r="B52" s="12"/>
      <c r="C52" s="12"/>
      <c r="D52" s="12">
        <f>sum(D16:D51)+D55</f>
        <v>334</v>
      </c>
      <c r="E52" s="8"/>
      <c r="F52" s="115" t="s">
        <v>267</v>
      </c>
      <c r="G52" s="115" t="s">
        <v>82</v>
      </c>
      <c r="H52" s="115" t="s">
        <v>356</v>
      </c>
      <c r="I52" s="115"/>
      <c r="K52" s="8"/>
      <c r="L52" s="8"/>
    </row>
    <row r="53">
      <c r="A53" s="12"/>
      <c r="B53" s="12"/>
      <c r="C53" s="12"/>
      <c r="D53" s="12"/>
      <c r="E53" s="8"/>
      <c r="F53" s="115" t="s">
        <v>634</v>
      </c>
      <c r="G53" s="115" t="s">
        <v>60</v>
      </c>
      <c r="H53" s="115" t="s">
        <v>117</v>
      </c>
      <c r="I53" s="115"/>
      <c r="K53" s="8"/>
      <c r="L53" s="8"/>
    </row>
    <row r="54">
      <c r="A54" s="12"/>
      <c r="B54" s="12"/>
      <c r="C54" s="12"/>
      <c r="D54" s="12"/>
      <c r="E54" s="8"/>
      <c r="F54" s="115"/>
      <c r="G54" s="115" t="s">
        <v>148</v>
      </c>
      <c r="H54" s="115" t="s">
        <v>418</v>
      </c>
      <c r="I54" s="115"/>
      <c r="K54" s="8"/>
      <c r="L54" s="8"/>
    </row>
    <row r="55">
      <c r="A55" s="120" t="s">
        <v>103</v>
      </c>
      <c r="B55" s="121"/>
      <c r="C55" s="122" t="s">
        <v>637</v>
      </c>
      <c r="D55" s="123">
        <v>25.0</v>
      </c>
      <c r="E55" s="8"/>
      <c r="F55" s="115"/>
      <c r="G55" s="115" t="s">
        <v>635</v>
      </c>
      <c r="H55" s="115" t="s">
        <v>273</v>
      </c>
      <c r="I55" s="115"/>
      <c r="K55" s="8"/>
      <c r="L55" s="8"/>
    </row>
    <row r="56">
      <c r="A56" s="124" t="s">
        <v>180</v>
      </c>
      <c r="B56" s="40"/>
      <c r="C56" s="122" t="s">
        <v>637</v>
      </c>
      <c r="D56" s="23"/>
      <c r="E56" s="8"/>
      <c r="F56" s="115"/>
      <c r="G56" s="115" t="s">
        <v>633</v>
      </c>
      <c r="H56" s="115" t="s">
        <v>422</v>
      </c>
      <c r="I56" s="115"/>
      <c r="K56" s="8"/>
      <c r="L56" s="8"/>
    </row>
    <row r="57">
      <c r="A57" s="125" t="s">
        <v>89</v>
      </c>
      <c r="B57" s="40"/>
      <c r="C57" s="122" t="s">
        <v>637</v>
      </c>
      <c r="D57" s="126"/>
      <c r="E57" s="8"/>
      <c r="F57" s="60"/>
      <c r="G57" s="60"/>
      <c r="H57" s="60"/>
      <c r="K57" s="8"/>
      <c r="L57" s="8"/>
    </row>
    <row r="58">
      <c r="A58" s="125" t="s">
        <v>638</v>
      </c>
      <c r="B58" s="40"/>
      <c r="C58" s="122" t="s">
        <v>637</v>
      </c>
      <c r="D58" s="126"/>
      <c r="E58" s="8"/>
      <c r="F58" s="60"/>
      <c r="G58" s="60"/>
      <c r="H58" s="8"/>
      <c r="I58" s="8"/>
      <c r="K58" s="8"/>
      <c r="L58" s="8"/>
    </row>
    <row r="59">
      <c r="A59" s="125" t="s">
        <v>639</v>
      </c>
      <c r="B59" s="40"/>
      <c r="C59" s="122" t="s">
        <v>637</v>
      </c>
      <c r="D59" s="126"/>
      <c r="E59" s="8"/>
      <c r="F59" s="60"/>
      <c r="G59" s="60"/>
      <c r="H59" s="60"/>
      <c r="I59" s="60"/>
      <c r="K59" s="8"/>
      <c r="L59" s="8"/>
    </row>
    <row r="60">
      <c r="A60" s="125" t="s">
        <v>640</v>
      </c>
      <c r="B60" s="40"/>
      <c r="C60" s="122" t="s">
        <v>637</v>
      </c>
      <c r="D60" s="126"/>
      <c r="E60" s="8"/>
      <c r="F60" s="60"/>
      <c r="G60" s="60"/>
      <c r="H60" s="60"/>
      <c r="I60" s="60"/>
      <c r="K60" s="8"/>
      <c r="L60" s="8"/>
    </row>
    <row r="61">
      <c r="A61" s="125" t="s">
        <v>641</v>
      </c>
      <c r="B61" s="40"/>
      <c r="C61" s="122" t="s">
        <v>637</v>
      </c>
      <c r="D61" s="126"/>
      <c r="E61" s="8"/>
      <c r="F61" s="60"/>
      <c r="G61" s="60"/>
      <c r="H61" s="8"/>
      <c r="I61" s="8"/>
      <c r="J61" s="8"/>
      <c r="K61" s="8"/>
      <c r="L61" s="8"/>
    </row>
    <row r="62">
      <c r="A62" s="125" t="s">
        <v>642</v>
      </c>
      <c r="B62" s="40"/>
      <c r="C62" s="122" t="s">
        <v>637</v>
      </c>
      <c r="D62" s="126"/>
      <c r="E62" s="8"/>
      <c r="F62" s="60"/>
      <c r="G62" s="60"/>
      <c r="H62" s="60"/>
      <c r="I62" s="60"/>
      <c r="J62" s="8"/>
      <c r="K62" s="8"/>
      <c r="L62" s="8"/>
    </row>
    <row r="63">
      <c r="A63" s="125" t="s">
        <v>623</v>
      </c>
      <c r="B63" s="40"/>
      <c r="C63" s="122" t="s">
        <v>637</v>
      </c>
      <c r="D63" s="126"/>
      <c r="E63" s="8"/>
      <c r="F63" s="60"/>
      <c r="G63" s="60"/>
      <c r="H63" s="8"/>
      <c r="I63" s="8"/>
      <c r="J63" s="8"/>
      <c r="K63" s="8"/>
      <c r="L63" s="8"/>
    </row>
    <row r="64">
      <c r="A64" s="125" t="s">
        <v>643</v>
      </c>
      <c r="B64" s="40"/>
      <c r="C64" s="122" t="s">
        <v>637</v>
      </c>
      <c r="D64" s="126"/>
      <c r="E64" s="8"/>
      <c r="F64" s="60"/>
      <c r="G64" s="60"/>
      <c r="H64" s="60"/>
      <c r="I64" s="60"/>
      <c r="J64" s="8"/>
      <c r="K64" s="8"/>
      <c r="L64" s="8"/>
    </row>
    <row r="65">
      <c r="A65" s="125" t="s">
        <v>644</v>
      </c>
      <c r="B65" s="40"/>
      <c r="C65" s="122" t="s">
        <v>637</v>
      </c>
      <c r="D65" s="126"/>
      <c r="E65" s="8"/>
      <c r="F65" s="60"/>
      <c r="G65" s="60"/>
      <c r="H65" s="8"/>
      <c r="I65" s="8"/>
      <c r="J65" s="8"/>
      <c r="K65" s="8"/>
      <c r="L65" s="8"/>
    </row>
    <row r="66">
      <c r="A66" s="125" t="s">
        <v>645</v>
      </c>
      <c r="B66" s="40"/>
      <c r="C66" s="122" t="s">
        <v>637</v>
      </c>
      <c r="D66" s="126"/>
      <c r="E66" s="8"/>
      <c r="F66" s="60"/>
      <c r="G66" s="60"/>
      <c r="H66" s="60"/>
      <c r="I66" s="60"/>
      <c r="J66" s="8"/>
      <c r="K66" s="8"/>
      <c r="L66" s="8"/>
    </row>
    <row r="67">
      <c r="A67" s="125" t="s">
        <v>646</v>
      </c>
      <c r="B67" s="40"/>
      <c r="C67" s="122" t="s">
        <v>637</v>
      </c>
      <c r="D67" s="126"/>
      <c r="E67" s="8"/>
      <c r="F67" s="60"/>
      <c r="G67" s="60"/>
      <c r="H67" s="60"/>
      <c r="I67" s="60"/>
      <c r="J67" s="8"/>
      <c r="K67" s="8"/>
      <c r="L67" s="8"/>
    </row>
    <row r="68">
      <c r="A68" s="125" t="s">
        <v>647</v>
      </c>
      <c r="B68" s="40"/>
      <c r="C68" s="122" t="s">
        <v>637</v>
      </c>
      <c r="D68" s="126"/>
      <c r="E68" s="8"/>
      <c r="F68" s="8"/>
      <c r="G68" s="8"/>
      <c r="H68" s="8"/>
      <c r="I68" s="8"/>
      <c r="J68" s="8"/>
      <c r="K68" s="8"/>
      <c r="L68" s="8"/>
    </row>
    <row r="69">
      <c r="A69" s="125" t="s">
        <v>648</v>
      </c>
      <c r="B69" s="40"/>
      <c r="C69" s="122" t="s">
        <v>637</v>
      </c>
      <c r="D69" s="126"/>
      <c r="E69" s="8"/>
      <c r="F69" s="8"/>
      <c r="G69" s="8"/>
      <c r="H69" s="8"/>
      <c r="I69" s="8"/>
      <c r="J69" s="8"/>
      <c r="K69" s="8"/>
      <c r="L69" s="8"/>
    </row>
    <row r="70">
      <c r="A70" s="125" t="s">
        <v>649</v>
      </c>
      <c r="B70" s="40"/>
      <c r="C70" s="122" t="s">
        <v>637</v>
      </c>
      <c r="D70" s="126"/>
      <c r="E70" s="8"/>
      <c r="F70" s="8"/>
      <c r="G70" s="8"/>
      <c r="H70" s="8"/>
      <c r="I70" s="8"/>
      <c r="J70" s="8"/>
      <c r="K70" s="8"/>
      <c r="L70" s="8"/>
    </row>
    <row r="71">
      <c r="A71" s="125" t="s">
        <v>650</v>
      </c>
      <c r="B71" s="40"/>
      <c r="C71" s="122" t="s">
        <v>637</v>
      </c>
      <c r="D71" s="126"/>
      <c r="E71" s="8"/>
      <c r="F71" s="8"/>
      <c r="G71" s="8"/>
      <c r="H71" s="8"/>
      <c r="I71" s="8"/>
      <c r="J71" s="8"/>
      <c r="K71" s="8"/>
      <c r="L71" s="8"/>
    </row>
    <row r="72">
      <c r="A72" s="125" t="s">
        <v>651</v>
      </c>
      <c r="B72" s="40"/>
      <c r="C72" s="122" t="s">
        <v>637</v>
      </c>
      <c r="D72" s="126"/>
      <c r="E72" s="8"/>
      <c r="F72" s="8"/>
      <c r="G72" s="8"/>
      <c r="H72" s="8"/>
      <c r="I72" s="8"/>
      <c r="J72" s="8"/>
      <c r="K72" s="8"/>
      <c r="L72" s="8"/>
    </row>
    <row r="73">
      <c r="A73" s="125" t="s">
        <v>652</v>
      </c>
      <c r="B73" s="40"/>
      <c r="C73" s="122" t="s">
        <v>637</v>
      </c>
      <c r="D73" s="126"/>
      <c r="E73" s="8"/>
      <c r="F73" s="8"/>
      <c r="G73" s="8"/>
      <c r="H73" s="8"/>
      <c r="I73" s="8"/>
      <c r="J73" s="8"/>
      <c r="K73" s="8"/>
      <c r="L73" s="8"/>
    </row>
    <row r="74">
      <c r="A74" s="125" t="s">
        <v>653</v>
      </c>
      <c r="B74" s="40"/>
      <c r="C74" s="122" t="s">
        <v>637</v>
      </c>
      <c r="D74" s="126"/>
      <c r="E74" s="8"/>
      <c r="F74" s="8"/>
      <c r="G74" s="8"/>
      <c r="H74" s="8"/>
      <c r="I74" s="8"/>
      <c r="J74" s="8"/>
      <c r="K74" s="8"/>
      <c r="L74" s="8"/>
    </row>
    <row r="75">
      <c r="A75" s="125" t="s">
        <v>654</v>
      </c>
      <c r="B75" s="40"/>
      <c r="C75" s="122" t="s">
        <v>637</v>
      </c>
      <c r="D75" s="126"/>
      <c r="E75" s="8"/>
      <c r="F75" s="8"/>
      <c r="G75" s="8"/>
      <c r="H75" s="8"/>
      <c r="I75" s="8"/>
      <c r="J75" s="8"/>
      <c r="K75" s="8"/>
      <c r="L75" s="8"/>
    </row>
    <row r="76">
      <c r="A76" s="125" t="s">
        <v>655</v>
      </c>
      <c r="B76" s="40"/>
      <c r="C76" s="122" t="s">
        <v>637</v>
      </c>
      <c r="D76" s="126"/>
      <c r="E76" s="8"/>
      <c r="F76" s="8"/>
      <c r="G76" s="8"/>
      <c r="H76" s="8"/>
      <c r="I76" s="8"/>
      <c r="J76" s="8"/>
      <c r="K76" s="8"/>
      <c r="L76" s="8"/>
    </row>
    <row r="77">
      <c r="A77" s="125" t="s">
        <v>193</v>
      </c>
      <c r="B77" s="40"/>
      <c r="C77" s="122" t="s">
        <v>637</v>
      </c>
      <c r="D77" s="126"/>
      <c r="E77" s="8"/>
      <c r="F77" s="8"/>
      <c r="G77" s="8"/>
      <c r="H77" s="8"/>
      <c r="I77" s="8"/>
      <c r="J77" s="8"/>
      <c r="K77" s="8"/>
      <c r="L77" s="8"/>
    </row>
    <row r="78">
      <c r="A78" s="125" t="s">
        <v>656</v>
      </c>
      <c r="B78" s="40"/>
      <c r="C78" s="122" t="s">
        <v>637</v>
      </c>
      <c r="D78" s="126"/>
      <c r="E78" s="8"/>
      <c r="F78" s="8"/>
      <c r="G78" s="8"/>
      <c r="H78" s="8"/>
      <c r="I78" s="8"/>
      <c r="J78" s="8"/>
      <c r="K78" s="8"/>
      <c r="L78" s="8"/>
    </row>
    <row r="79">
      <c r="A79" s="125" t="s">
        <v>657</v>
      </c>
      <c r="B79" s="40"/>
      <c r="C79" s="122" t="s">
        <v>637</v>
      </c>
      <c r="D79" s="126"/>
      <c r="E79" s="8"/>
      <c r="F79" s="8"/>
      <c r="G79" s="8"/>
      <c r="H79" s="8"/>
      <c r="I79" s="8"/>
      <c r="J79" s="8"/>
      <c r="K79" s="8"/>
      <c r="L79" s="8"/>
    </row>
    <row r="80">
      <c r="A80" s="125" t="s">
        <v>658</v>
      </c>
      <c r="B80" s="40"/>
      <c r="C80" s="122" t="s">
        <v>637</v>
      </c>
      <c r="D80" s="126"/>
      <c r="E80" s="8"/>
      <c r="F80" s="8"/>
      <c r="G80" s="8"/>
      <c r="H80" s="8"/>
      <c r="I80" s="8"/>
      <c r="J80" s="8"/>
      <c r="K80" s="8"/>
      <c r="L80" s="8"/>
    </row>
    <row r="81">
      <c r="A81" s="125" t="s">
        <v>659</v>
      </c>
      <c r="B81" s="40"/>
      <c r="C81" s="122" t="s">
        <v>637</v>
      </c>
      <c r="D81" s="126"/>
      <c r="E81" s="8"/>
      <c r="F81" s="8"/>
      <c r="G81" s="8"/>
      <c r="H81" s="8"/>
      <c r="I81" s="8"/>
      <c r="J81" s="8"/>
      <c r="K81" s="8"/>
      <c r="L81" s="8"/>
    </row>
    <row r="82">
      <c r="A82" s="125" t="s">
        <v>660</v>
      </c>
      <c r="B82" s="40"/>
      <c r="C82" s="122" t="s">
        <v>637</v>
      </c>
      <c r="D82" s="126"/>
      <c r="E82" s="8"/>
      <c r="F82" s="8"/>
      <c r="G82" s="8"/>
      <c r="H82" s="8"/>
      <c r="I82" s="8"/>
      <c r="J82" s="8"/>
      <c r="K82" s="8"/>
      <c r="L82" s="8"/>
    </row>
    <row r="83">
      <c r="A83" s="125" t="s">
        <v>661</v>
      </c>
      <c r="B83" s="40"/>
      <c r="C83" s="122" t="s">
        <v>637</v>
      </c>
      <c r="D83" s="126"/>
      <c r="E83" s="8"/>
      <c r="F83" s="8"/>
      <c r="G83" s="8"/>
      <c r="H83" s="8"/>
      <c r="I83" s="8"/>
      <c r="J83" s="8"/>
      <c r="K83" s="8"/>
      <c r="L83" s="8"/>
    </row>
    <row r="84">
      <c r="A84" s="125" t="s">
        <v>662</v>
      </c>
      <c r="B84" s="40"/>
      <c r="C84" s="122" t="s">
        <v>637</v>
      </c>
      <c r="D84" s="126"/>
      <c r="E84" s="8"/>
      <c r="F84" s="8"/>
      <c r="G84" s="8"/>
      <c r="H84" s="8"/>
      <c r="I84" s="8"/>
      <c r="J84" s="8"/>
      <c r="K84" s="8"/>
      <c r="L84" s="8"/>
    </row>
    <row r="85">
      <c r="A85" s="125" t="s">
        <v>663</v>
      </c>
      <c r="B85" s="40"/>
      <c r="C85" s="122" t="s">
        <v>637</v>
      </c>
      <c r="D85" s="126"/>
      <c r="E85" s="8"/>
      <c r="F85" s="8"/>
      <c r="G85" s="8"/>
      <c r="H85" s="8"/>
      <c r="I85" s="8"/>
      <c r="J85" s="8"/>
      <c r="K85" s="8"/>
      <c r="L85" s="8"/>
    </row>
    <row r="86">
      <c r="A86" s="125" t="s">
        <v>664</v>
      </c>
      <c r="B86" s="40"/>
      <c r="C86" s="122" t="s">
        <v>637</v>
      </c>
      <c r="D86" s="126"/>
      <c r="E86" s="8"/>
      <c r="F86" s="8"/>
      <c r="G86" s="8"/>
      <c r="H86" s="8"/>
      <c r="I86" s="8"/>
      <c r="J86" s="8"/>
      <c r="K86" s="8"/>
      <c r="L86" s="8"/>
    </row>
    <row r="87">
      <c r="A87" s="125" t="s">
        <v>665</v>
      </c>
      <c r="B87" s="40"/>
      <c r="C87" s="122" t="s">
        <v>637</v>
      </c>
      <c r="D87" s="126"/>
      <c r="E87" s="8"/>
      <c r="F87" s="8"/>
      <c r="G87" s="8"/>
      <c r="H87" s="8"/>
      <c r="I87" s="8"/>
      <c r="J87" s="8"/>
      <c r="K87" s="8"/>
      <c r="L87" s="8"/>
    </row>
    <row r="88">
      <c r="A88" s="125" t="s">
        <v>666</v>
      </c>
      <c r="B88" s="40"/>
      <c r="C88" s="122" t="s">
        <v>637</v>
      </c>
      <c r="D88" s="126"/>
      <c r="E88" s="8"/>
      <c r="F88" s="8"/>
      <c r="G88" s="8"/>
      <c r="H88" s="8"/>
      <c r="I88" s="8"/>
      <c r="J88" s="8"/>
      <c r="K88" s="8"/>
      <c r="L88" s="8"/>
    </row>
    <row r="89">
      <c r="A89" s="105" t="s">
        <v>667</v>
      </c>
      <c r="B89" s="40"/>
      <c r="C89" s="122" t="s">
        <v>637</v>
      </c>
      <c r="D89" s="126"/>
      <c r="E89" s="8"/>
      <c r="F89" s="8"/>
      <c r="G89" s="8"/>
      <c r="H89" s="8"/>
      <c r="I89" s="8"/>
      <c r="J89" s="8"/>
      <c r="K89" s="8"/>
      <c r="L89" s="8"/>
    </row>
    <row r="90">
      <c r="A90" s="105" t="s">
        <v>668</v>
      </c>
      <c r="B90" s="40"/>
      <c r="C90" s="122" t="s">
        <v>637</v>
      </c>
      <c r="D90" s="126"/>
      <c r="E90" s="8"/>
      <c r="F90" s="8"/>
      <c r="G90" s="8"/>
      <c r="H90" s="8"/>
      <c r="I90" s="8"/>
      <c r="J90" s="8"/>
      <c r="K90" s="8"/>
      <c r="L90" s="8"/>
    </row>
    <row r="91">
      <c r="A91" s="105" t="s">
        <v>669</v>
      </c>
      <c r="B91" s="40"/>
      <c r="C91" s="122" t="s">
        <v>637</v>
      </c>
      <c r="D91" s="126"/>
      <c r="E91" s="8"/>
      <c r="F91" s="8"/>
      <c r="G91" s="8"/>
      <c r="H91" s="8"/>
      <c r="I91" s="8"/>
      <c r="J91" s="8"/>
      <c r="K91" s="8"/>
      <c r="L91" s="8"/>
    </row>
    <row r="92">
      <c r="A92" s="105" t="s">
        <v>670</v>
      </c>
      <c r="B92" s="40"/>
      <c r="C92" s="122" t="s">
        <v>637</v>
      </c>
      <c r="D92" s="126"/>
      <c r="E92" s="8"/>
      <c r="F92" s="8"/>
      <c r="G92" s="8"/>
      <c r="H92" s="8"/>
      <c r="I92" s="8"/>
      <c r="J92" s="8"/>
      <c r="K92" s="8"/>
      <c r="L92" s="8"/>
    </row>
    <row r="93">
      <c r="A93" s="105" t="s">
        <v>671</v>
      </c>
      <c r="B93" s="40"/>
      <c r="C93" s="122" t="s">
        <v>637</v>
      </c>
      <c r="D93" s="126"/>
      <c r="E93" s="8"/>
      <c r="F93" s="8"/>
      <c r="G93" s="8"/>
      <c r="H93" s="8"/>
      <c r="I93" s="8"/>
      <c r="J93" s="8"/>
      <c r="K93" s="8"/>
      <c r="L93" s="8"/>
    </row>
    <row r="94">
      <c r="A94" s="105" t="s">
        <v>672</v>
      </c>
      <c r="B94" s="40"/>
      <c r="C94" s="122" t="s">
        <v>637</v>
      </c>
      <c r="D94" s="126"/>
      <c r="E94" s="8"/>
      <c r="F94" s="8"/>
      <c r="G94" s="8"/>
      <c r="H94" s="8"/>
      <c r="I94" s="8"/>
      <c r="J94" s="8"/>
      <c r="K94" s="8"/>
      <c r="L94" s="8"/>
    </row>
    <row r="95">
      <c r="A95" s="105" t="s">
        <v>673</v>
      </c>
      <c r="B95" s="40"/>
      <c r="C95" s="122" t="s">
        <v>637</v>
      </c>
      <c r="D95" s="126"/>
      <c r="E95" s="8"/>
      <c r="F95" s="8"/>
      <c r="G95" s="8"/>
      <c r="H95" s="8"/>
      <c r="I95" s="8"/>
      <c r="J95" s="8"/>
      <c r="K95" s="8"/>
      <c r="L95" s="8"/>
    </row>
    <row r="96">
      <c r="A96" s="105" t="s">
        <v>674</v>
      </c>
      <c r="B96" s="40"/>
      <c r="C96" s="122" t="s">
        <v>637</v>
      </c>
      <c r="D96" s="126"/>
      <c r="E96" s="8"/>
      <c r="F96" s="8"/>
      <c r="G96" s="8"/>
      <c r="H96" s="8"/>
      <c r="I96" s="8"/>
      <c r="J96" s="8"/>
      <c r="K96" s="8"/>
      <c r="L96" s="8"/>
    </row>
    <row r="97">
      <c r="A97" s="105" t="s">
        <v>675</v>
      </c>
      <c r="B97" s="40"/>
      <c r="C97" s="122" t="s">
        <v>637</v>
      </c>
      <c r="D97" s="126"/>
      <c r="E97" s="8"/>
      <c r="F97" s="8"/>
      <c r="G97" s="8"/>
      <c r="H97" s="8"/>
      <c r="I97" s="8"/>
      <c r="J97" s="8"/>
      <c r="K97" s="8"/>
      <c r="L97" s="8"/>
    </row>
    <row r="98">
      <c r="A98" s="105" t="s">
        <v>676</v>
      </c>
      <c r="B98" s="40"/>
      <c r="C98" s="122" t="s">
        <v>637</v>
      </c>
      <c r="D98" s="126"/>
      <c r="E98" s="8"/>
      <c r="F98" s="8"/>
      <c r="G98" s="8"/>
      <c r="H98" s="8"/>
      <c r="I98" s="8"/>
      <c r="J98" s="8"/>
      <c r="K98" s="8"/>
      <c r="L98" s="8"/>
    </row>
    <row r="99">
      <c r="A99" s="105" t="s">
        <v>677</v>
      </c>
      <c r="B99" s="25"/>
      <c r="C99" s="122" t="s">
        <v>637</v>
      </c>
      <c r="D99" s="126"/>
      <c r="E99" s="8"/>
      <c r="F99" s="8"/>
      <c r="G99" s="8"/>
      <c r="H99" s="8"/>
      <c r="I99" s="8"/>
      <c r="J99" s="8"/>
      <c r="K99" s="8"/>
      <c r="L99" s="8"/>
    </row>
    <row r="100">
      <c r="A100" s="105" t="s">
        <v>678</v>
      </c>
      <c r="B100" s="25"/>
      <c r="C100" s="122" t="s">
        <v>637</v>
      </c>
      <c r="D100" s="126"/>
      <c r="E100" s="8"/>
      <c r="F100" s="8"/>
      <c r="G100" s="8"/>
      <c r="H100" s="8"/>
      <c r="I100" s="8"/>
      <c r="J100" s="8"/>
      <c r="K100" s="8"/>
      <c r="L100" s="8"/>
    </row>
    <row r="101">
      <c r="A101" s="105" t="s">
        <v>679</v>
      </c>
      <c r="B101" s="25"/>
      <c r="C101" s="122" t="s">
        <v>637</v>
      </c>
      <c r="D101" s="126"/>
      <c r="E101" s="8"/>
      <c r="F101" s="8"/>
      <c r="G101" s="8"/>
      <c r="H101" s="8"/>
      <c r="I101" s="8"/>
      <c r="J101" s="8"/>
      <c r="K101" s="8"/>
      <c r="L101" s="8"/>
    </row>
    <row r="102">
      <c r="A102" s="105" t="s">
        <v>680</v>
      </c>
      <c r="B102" s="25"/>
      <c r="C102" s="122" t="s">
        <v>637</v>
      </c>
      <c r="D102" s="126"/>
      <c r="E102" s="8"/>
      <c r="F102" s="8"/>
      <c r="G102" s="8"/>
      <c r="H102" s="8"/>
      <c r="I102" s="8"/>
      <c r="J102" s="8"/>
      <c r="K102" s="8"/>
      <c r="L102" s="8"/>
    </row>
    <row r="103">
      <c r="A103" s="105" t="s">
        <v>681</v>
      </c>
      <c r="B103" s="25"/>
      <c r="C103" s="122" t="s">
        <v>637</v>
      </c>
      <c r="D103" s="126"/>
      <c r="E103" s="8"/>
      <c r="F103" s="8"/>
      <c r="G103" s="8"/>
      <c r="H103" s="8"/>
      <c r="I103" s="8"/>
      <c r="J103" s="8"/>
      <c r="K103" s="8"/>
      <c r="L103" s="8"/>
    </row>
    <row r="104">
      <c r="A104" s="105" t="s">
        <v>682</v>
      </c>
      <c r="B104" s="25"/>
      <c r="C104" s="122" t="s">
        <v>637</v>
      </c>
      <c r="D104" s="126"/>
      <c r="E104" s="8"/>
      <c r="F104" s="8"/>
      <c r="G104" s="8"/>
      <c r="H104" s="8"/>
      <c r="I104" s="8"/>
      <c r="J104" s="8"/>
      <c r="K104" s="8"/>
      <c r="L104" s="8"/>
    </row>
    <row r="105">
      <c r="A105" s="105" t="s">
        <v>683</v>
      </c>
      <c r="B105" s="25"/>
      <c r="C105" s="122" t="s">
        <v>637</v>
      </c>
      <c r="D105" s="126"/>
      <c r="E105" s="8"/>
      <c r="F105" s="8"/>
      <c r="G105" s="8"/>
      <c r="H105" s="8"/>
      <c r="I105" s="8"/>
      <c r="J105" s="8"/>
      <c r="K105" s="8"/>
      <c r="L105" s="8"/>
    </row>
    <row r="106">
      <c r="A106" s="105" t="s">
        <v>684</v>
      </c>
      <c r="B106" s="25"/>
      <c r="C106" s="122" t="s">
        <v>637</v>
      </c>
      <c r="D106" s="126"/>
      <c r="E106" s="8"/>
      <c r="F106" s="8"/>
      <c r="G106" s="8"/>
      <c r="H106" s="8"/>
      <c r="I106" s="8"/>
      <c r="J106" s="8"/>
      <c r="K106" s="8"/>
      <c r="L106" s="8"/>
    </row>
    <row r="107">
      <c r="A107" s="105" t="s">
        <v>685</v>
      </c>
      <c r="B107" s="25"/>
      <c r="C107" s="122" t="s">
        <v>637</v>
      </c>
      <c r="D107" s="126"/>
      <c r="E107" s="8"/>
      <c r="J107" s="8"/>
      <c r="K107" s="8"/>
      <c r="L107" s="8"/>
    </row>
    <row r="108">
      <c r="A108" s="105" t="s">
        <v>686</v>
      </c>
      <c r="B108" s="25"/>
      <c r="C108" s="122" t="s">
        <v>637</v>
      </c>
      <c r="D108" s="126"/>
      <c r="E108" s="8"/>
      <c r="J108" s="8"/>
      <c r="K108" s="8"/>
      <c r="L108" s="8"/>
    </row>
    <row r="109">
      <c r="A109" s="105" t="s">
        <v>687</v>
      </c>
      <c r="B109" s="25"/>
      <c r="C109" s="122" t="s">
        <v>637</v>
      </c>
      <c r="D109" s="126"/>
      <c r="E109" s="8"/>
      <c r="J109" s="8"/>
      <c r="K109" s="8"/>
      <c r="L109" s="8"/>
    </row>
    <row r="110">
      <c r="A110" s="105" t="s">
        <v>688</v>
      </c>
      <c r="B110" s="25"/>
      <c r="C110" s="122" t="s">
        <v>637</v>
      </c>
      <c r="D110" s="126"/>
      <c r="E110" s="8"/>
      <c r="K110" s="8"/>
      <c r="L110" s="8"/>
    </row>
    <row r="111">
      <c r="A111" s="105" t="s">
        <v>689</v>
      </c>
      <c r="B111" s="25"/>
      <c r="C111" s="122" t="s">
        <v>637</v>
      </c>
      <c r="D111" s="126"/>
    </row>
    <row r="112">
      <c r="A112" s="105" t="s">
        <v>690</v>
      </c>
      <c r="B112" s="25"/>
      <c r="C112" s="122" t="s">
        <v>637</v>
      </c>
      <c r="D112" s="126"/>
    </row>
    <row r="113">
      <c r="A113" s="105" t="s">
        <v>691</v>
      </c>
      <c r="B113" s="25"/>
      <c r="C113" s="122" t="s">
        <v>637</v>
      </c>
      <c r="D113" s="126"/>
    </row>
    <row r="114">
      <c r="A114" s="105" t="s">
        <v>692</v>
      </c>
      <c r="B114" s="25"/>
      <c r="C114" s="122" t="s">
        <v>637</v>
      </c>
      <c r="D114" s="126"/>
    </row>
    <row r="115">
      <c r="A115" s="105" t="s">
        <v>693</v>
      </c>
      <c r="B115" s="25"/>
      <c r="C115" s="122" t="s">
        <v>637</v>
      </c>
      <c r="D115" s="126"/>
    </row>
    <row r="116">
      <c r="A116" s="105" t="s">
        <v>694</v>
      </c>
      <c r="B116" s="25"/>
      <c r="C116" s="122" t="s">
        <v>637</v>
      </c>
      <c r="D116" s="126"/>
    </row>
    <row r="117">
      <c r="A117" s="105" t="s">
        <v>695</v>
      </c>
      <c r="B117" s="25"/>
      <c r="C117" s="122" t="s">
        <v>637</v>
      </c>
      <c r="D117" s="126"/>
    </row>
    <row r="118">
      <c r="A118" s="105" t="s">
        <v>696</v>
      </c>
      <c r="B118" s="25"/>
      <c r="C118" s="122" t="s">
        <v>637</v>
      </c>
      <c r="D118" s="126"/>
    </row>
    <row r="119">
      <c r="A119" s="105" t="s">
        <v>697</v>
      </c>
      <c r="B119" s="25"/>
      <c r="C119" s="122" t="s">
        <v>637</v>
      </c>
      <c r="D119" s="126"/>
    </row>
    <row r="120">
      <c r="A120" s="105" t="s">
        <v>698</v>
      </c>
      <c r="B120" s="25"/>
      <c r="C120" s="122" t="s">
        <v>637</v>
      </c>
      <c r="D120" s="126"/>
    </row>
    <row r="121">
      <c r="A121" s="105" t="s">
        <v>699</v>
      </c>
      <c r="B121" s="25"/>
      <c r="C121" s="122" t="s">
        <v>637</v>
      </c>
      <c r="D121" s="126"/>
    </row>
    <row r="122">
      <c r="A122" s="105" t="s">
        <v>700</v>
      </c>
      <c r="B122" s="25"/>
      <c r="C122" s="122" t="s">
        <v>637</v>
      </c>
      <c r="D122" s="126"/>
    </row>
    <row r="123">
      <c r="A123" s="105" t="s">
        <v>701</v>
      </c>
      <c r="B123" s="25"/>
      <c r="C123" s="122" t="s">
        <v>637</v>
      </c>
      <c r="D123" s="126"/>
    </row>
    <row r="124">
      <c r="A124" s="105" t="s">
        <v>179</v>
      </c>
      <c r="B124" s="25"/>
      <c r="C124" s="122" t="s">
        <v>637</v>
      </c>
      <c r="D124" s="126"/>
    </row>
    <row r="125">
      <c r="A125" s="105" t="s">
        <v>702</v>
      </c>
      <c r="B125" s="25"/>
      <c r="C125" s="122" t="s">
        <v>637</v>
      </c>
      <c r="D125" s="126"/>
    </row>
    <row r="126">
      <c r="A126" s="105" t="s">
        <v>703</v>
      </c>
      <c r="B126" s="25"/>
      <c r="C126" s="122" t="s">
        <v>637</v>
      </c>
      <c r="D126" s="126"/>
    </row>
    <row r="127">
      <c r="A127" s="105" t="s">
        <v>704</v>
      </c>
      <c r="B127" s="25"/>
      <c r="C127" s="122" t="s">
        <v>637</v>
      </c>
      <c r="D127" s="126"/>
    </row>
    <row r="128">
      <c r="A128" s="105" t="s">
        <v>705</v>
      </c>
      <c r="B128" s="25"/>
      <c r="C128" s="122" t="s">
        <v>637</v>
      </c>
      <c r="D128" s="126"/>
    </row>
    <row r="129">
      <c r="A129" s="105" t="s">
        <v>706</v>
      </c>
      <c r="B129" s="25"/>
      <c r="C129" s="122" t="s">
        <v>637</v>
      </c>
      <c r="D129" s="126"/>
    </row>
    <row r="130">
      <c r="A130" s="105" t="s">
        <v>707</v>
      </c>
      <c r="B130" s="25"/>
      <c r="C130" s="122" t="s">
        <v>637</v>
      </c>
      <c r="D130" s="126"/>
    </row>
    <row r="131">
      <c r="A131" s="105" t="s">
        <v>708</v>
      </c>
      <c r="B131" s="25"/>
      <c r="C131" s="122" t="s">
        <v>637</v>
      </c>
      <c r="D131" s="126"/>
    </row>
    <row r="132">
      <c r="A132" s="105" t="s">
        <v>709</v>
      </c>
      <c r="B132" s="25"/>
      <c r="C132" s="122" t="s">
        <v>637</v>
      </c>
      <c r="D132" s="126"/>
    </row>
    <row r="133">
      <c r="A133" s="105" t="s">
        <v>710</v>
      </c>
      <c r="B133" s="25"/>
      <c r="C133" s="122" t="s">
        <v>637</v>
      </c>
      <c r="D133" s="126"/>
    </row>
    <row r="134">
      <c r="A134" s="105" t="s">
        <v>711</v>
      </c>
      <c r="B134" s="25"/>
      <c r="C134" s="122" t="s">
        <v>637</v>
      </c>
      <c r="D134" s="126"/>
    </row>
    <row r="135">
      <c r="A135" s="105" t="s">
        <v>712</v>
      </c>
      <c r="B135" s="25"/>
      <c r="C135" s="122" t="s">
        <v>637</v>
      </c>
      <c r="D135" s="126"/>
    </row>
    <row r="136">
      <c r="A136" s="105" t="s">
        <v>713</v>
      </c>
      <c r="B136" s="25"/>
      <c r="C136" s="122" t="s">
        <v>637</v>
      </c>
      <c r="D136" s="126"/>
    </row>
    <row r="137">
      <c r="A137" s="105" t="s">
        <v>714</v>
      </c>
      <c r="B137" s="25"/>
      <c r="C137" s="122" t="s">
        <v>637</v>
      </c>
      <c r="D137" s="126"/>
    </row>
    <row r="138">
      <c r="A138" s="105" t="s">
        <v>715</v>
      </c>
      <c r="B138" s="25"/>
      <c r="C138" s="122" t="s">
        <v>637</v>
      </c>
      <c r="D138" s="126"/>
    </row>
    <row r="139">
      <c r="A139" s="105" t="s">
        <v>716</v>
      </c>
      <c r="B139" s="25"/>
      <c r="C139" s="122" t="s">
        <v>637</v>
      </c>
      <c r="D139" s="126"/>
    </row>
    <row r="140">
      <c r="A140" s="105" t="s">
        <v>717</v>
      </c>
      <c r="B140" s="25"/>
      <c r="C140" s="122" t="s">
        <v>637</v>
      </c>
      <c r="D140" s="126"/>
    </row>
    <row r="141">
      <c r="A141" s="105" t="s">
        <v>718</v>
      </c>
      <c r="B141" s="25"/>
      <c r="C141" s="122" t="s">
        <v>637</v>
      </c>
      <c r="D141" s="126"/>
    </row>
    <row r="142">
      <c r="A142" s="105" t="s">
        <v>719</v>
      </c>
      <c r="B142" s="25"/>
      <c r="C142" s="122" t="s">
        <v>637</v>
      </c>
      <c r="D142" s="126"/>
    </row>
    <row r="143">
      <c r="A143" s="105" t="s">
        <v>720</v>
      </c>
      <c r="B143" s="25"/>
      <c r="C143" s="122" t="s">
        <v>637</v>
      </c>
      <c r="D143" s="126"/>
    </row>
    <row r="144">
      <c r="A144" s="105" t="s">
        <v>721</v>
      </c>
      <c r="B144" s="25"/>
      <c r="C144" s="122" t="s">
        <v>637</v>
      </c>
      <c r="D144" s="126"/>
    </row>
    <row r="145">
      <c r="A145" s="105" t="s">
        <v>722</v>
      </c>
      <c r="B145" s="25"/>
      <c r="C145" s="122" t="s">
        <v>637</v>
      </c>
      <c r="D145" s="126"/>
    </row>
    <row r="146">
      <c r="A146" s="105" t="s">
        <v>723</v>
      </c>
      <c r="B146" s="25"/>
      <c r="C146" s="122" t="s">
        <v>637</v>
      </c>
      <c r="D146" s="126"/>
    </row>
    <row r="147">
      <c r="A147" s="105" t="s">
        <v>724</v>
      </c>
      <c r="B147" s="25"/>
      <c r="C147" s="122" t="s">
        <v>637</v>
      </c>
      <c r="D147" s="126"/>
    </row>
    <row r="148">
      <c r="A148" s="105" t="s">
        <v>725</v>
      </c>
      <c r="B148" s="25"/>
      <c r="C148" s="122" t="s">
        <v>637</v>
      </c>
      <c r="D148" s="126"/>
    </row>
    <row r="149">
      <c r="A149" s="105" t="s">
        <v>726</v>
      </c>
      <c r="B149" s="25"/>
      <c r="C149" s="122" t="s">
        <v>637</v>
      </c>
      <c r="D149" s="126"/>
    </row>
    <row r="150">
      <c r="A150" s="105" t="s">
        <v>727</v>
      </c>
      <c r="B150" s="25"/>
      <c r="C150" s="122" t="s">
        <v>637</v>
      </c>
      <c r="D150" s="126"/>
    </row>
    <row r="151">
      <c r="A151" s="105" t="s">
        <v>728</v>
      </c>
      <c r="B151" s="25"/>
      <c r="C151" s="122" t="s">
        <v>637</v>
      </c>
      <c r="D151" s="126"/>
    </row>
    <row r="152">
      <c r="A152" s="105" t="s">
        <v>729</v>
      </c>
      <c r="B152" s="25"/>
      <c r="C152" s="122" t="s">
        <v>637</v>
      </c>
      <c r="D152" s="126"/>
    </row>
    <row r="153">
      <c r="A153" s="105" t="s">
        <v>730</v>
      </c>
      <c r="B153" s="25"/>
      <c r="C153" s="122" t="s">
        <v>637</v>
      </c>
      <c r="D153" s="126"/>
    </row>
    <row r="154">
      <c r="A154" s="105" t="s">
        <v>731</v>
      </c>
      <c r="B154" s="25"/>
      <c r="C154" s="122" t="s">
        <v>637</v>
      </c>
      <c r="D154" s="126"/>
    </row>
    <row r="155">
      <c r="A155" s="105" t="s">
        <v>732</v>
      </c>
      <c r="B155" s="126"/>
      <c r="C155" s="122" t="s">
        <v>637</v>
      </c>
      <c r="D155" s="126"/>
    </row>
    <row r="156">
      <c r="A156" s="105" t="s">
        <v>733</v>
      </c>
      <c r="B156" s="126"/>
      <c r="C156" s="122" t="s">
        <v>637</v>
      </c>
      <c r="D156" s="126"/>
    </row>
    <row r="157">
      <c r="A157" s="105" t="s">
        <v>734</v>
      </c>
      <c r="B157" s="126"/>
      <c r="C157" s="122" t="s">
        <v>637</v>
      </c>
      <c r="D157" s="126"/>
    </row>
    <row r="158">
      <c r="A158" s="105" t="s">
        <v>735</v>
      </c>
      <c r="B158" s="126"/>
      <c r="C158" s="122" t="s">
        <v>637</v>
      </c>
      <c r="D158" s="126"/>
    </row>
    <row r="159">
      <c r="A159" s="105" t="s">
        <v>736</v>
      </c>
      <c r="B159" s="23"/>
      <c r="C159" s="122" t="s">
        <v>637</v>
      </c>
      <c r="D159" s="126"/>
    </row>
    <row r="160">
      <c r="A160" s="105" t="s">
        <v>737</v>
      </c>
      <c r="B160" s="126"/>
      <c r="C160" s="122" t="s">
        <v>637</v>
      </c>
      <c r="D160" s="126"/>
    </row>
    <row r="161">
      <c r="A161" s="105" t="s">
        <v>738</v>
      </c>
      <c r="B161" s="126"/>
      <c r="C161" s="122" t="s">
        <v>637</v>
      </c>
      <c r="D161" s="126"/>
    </row>
    <row r="162">
      <c r="A162" s="105" t="s">
        <v>739</v>
      </c>
      <c r="B162" s="126"/>
      <c r="C162" s="122" t="s">
        <v>637</v>
      </c>
      <c r="D162" s="126"/>
    </row>
    <row r="163">
      <c r="A163" s="127" t="s">
        <v>740</v>
      </c>
      <c r="B163" s="126"/>
      <c r="C163" s="122" t="s">
        <v>637</v>
      </c>
      <c r="D163" s="126"/>
    </row>
    <row r="164">
      <c r="A164" s="127" t="s">
        <v>741</v>
      </c>
      <c r="B164" s="126"/>
      <c r="C164" s="122" t="s">
        <v>637</v>
      </c>
      <c r="D164" s="126"/>
    </row>
    <row r="165">
      <c r="A165" s="127" t="s">
        <v>742</v>
      </c>
      <c r="B165" s="126"/>
      <c r="C165" s="122" t="s">
        <v>637</v>
      </c>
      <c r="D165" s="126"/>
    </row>
    <row r="166">
      <c r="A166" s="127" t="s">
        <v>743</v>
      </c>
      <c r="B166" s="126"/>
      <c r="C166" s="122" t="s">
        <v>637</v>
      </c>
      <c r="D166" s="126"/>
    </row>
    <row r="167">
      <c r="A167" s="127" t="s">
        <v>744</v>
      </c>
      <c r="B167" s="126"/>
      <c r="C167" s="122" t="s">
        <v>637</v>
      </c>
      <c r="D167" s="126"/>
    </row>
    <row r="168">
      <c r="A168" s="127" t="s">
        <v>745</v>
      </c>
      <c r="B168" s="126"/>
      <c r="C168" s="122" t="s">
        <v>637</v>
      </c>
      <c r="D168" s="126"/>
    </row>
    <row r="169">
      <c r="A169" s="127" t="s">
        <v>746</v>
      </c>
      <c r="B169" s="126"/>
      <c r="C169" s="122" t="s">
        <v>637</v>
      </c>
      <c r="D169" s="126"/>
    </row>
    <row r="170">
      <c r="A170" s="127" t="s">
        <v>747</v>
      </c>
      <c r="B170" s="126"/>
      <c r="C170" s="122" t="s">
        <v>637</v>
      </c>
      <c r="D170" s="126"/>
    </row>
    <row r="171">
      <c r="A171" s="127" t="s">
        <v>748</v>
      </c>
      <c r="B171" s="126"/>
      <c r="C171" s="122" t="s">
        <v>637</v>
      </c>
      <c r="D171" s="126"/>
    </row>
    <row r="172">
      <c r="A172" s="127" t="s">
        <v>749</v>
      </c>
      <c r="B172" s="126"/>
      <c r="C172" s="122" t="s">
        <v>637</v>
      </c>
      <c r="D172" s="126"/>
    </row>
    <row r="173">
      <c r="A173" s="127" t="s">
        <v>750</v>
      </c>
      <c r="B173" s="126"/>
      <c r="C173" s="122" t="s">
        <v>637</v>
      </c>
      <c r="D173" s="126"/>
    </row>
    <row r="174">
      <c r="A174" s="128" t="s">
        <v>751</v>
      </c>
      <c r="B174" s="129"/>
      <c r="C174" s="122" t="s">
        <v>637</v>
      </c>
      <c r="D174" s="129"/>
    </row>
    <row r="175">
      <c r="A175" s="12"/>
    </row>
    <row r="176">
      <c r="A176" s="12"/>
    </row>
    <row r="177">
      <c r="A177" s="12"/>
    </row>
    <row r="178">
      <c r="A178" s="8"/>
    </row>
    <row r="179">
      <c r="A179" s="8"/>
    </row>
    <row r="180">
      <c r="A180" s="8"/>
    </row>
    <row r="181">
      <c r="A181" s="8"/>
    </row>
    <row r="182">
      <c r="A182" s="8"/>
    </row>
    <row r="183">
      <c r="A183" s="8"/>
    </row>
    <row r="184">
      <c r="A184" s="8"/>
    </row>
    <row r="185">
      <c r="A185" s="8"/>
    </row>
    <row r="186">
      <c r="A186" s="8"/>
    </row>
    <row r="187">
      <c r="A187" s="8"/>
    </row>
    <row r="188">
      <c r="A188" s="8"/>
    </row>
    <row r="189">
      <c r="A189" s="8"/>
    </row>
  </sheetData>
  <mergeCells count="5">
    <mergeCell ref="A1:L1"/>
    <mergeCell ref="A2:L2"/>
    <mergeCell ref="A3:L3"/>
    <mergeCell ref="A4:L4"/>
    <mergeCell ref="J23:K2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3" max="3" width="19.5"/>
    <col customWidth="1" min="6" max="6" width="17.5"/>
    <col customWidth="1" min="7" max="7" width="18.0"/>
    <col customWidth="1" min="8" max="8" width="18.75"/>
    <col customWidth="1" min="9" max="9" width="18.13"/>
    <col customWidth="1" min="10" max="10" width="18.0"/>
    <col customWidth="1" min="11" max="11" width="16.0"/>
  </cols>
  <sheetData>
    <row r="1">
      <c r="A1" s="1" t="s">
        <v>752</v>
      </c>
    </row>
    <row r="2">
      <c r="A2" s="2" t="s">
        <v>753</v>
      </c>
    </row>
    <row r="3">
      <c r="A3" s="3" t="s">
        <v>754</v>
      </c>
    </row>
    <row r="4">
      <c r="A4" s="3" t="s">
        <v>755</v>
      </c>
    </row>
    <row r="5">
      <c r="A5" s="4"/>
      <c r="B5" s="4"/>
      <c r="C5" s="4"/>
      <c r="D5" s="4"/>
      <c r="E5" s="4"/>
      <c r="F5" s="4"/>
      <c r="G5" s="4"/>
      <c r="H5" s="4"/>
      <c r="I5" s="4"/>
      <c r="J5" s="5"/>
      <c r="K5" s="5"/>
      <c r="L5" s="5"/>
    </row>
    <row r="6">
      <c r="A6" s="6" t="s">
        <v>4</v>
      </c>
    </row>
    <row r="7">
      <c r="A7" s="7" t="s">
        <v>446</v>
      </c>
      <c r="B7" s="7"/>
      <c r="C7" s="7"/>
      <c r="D7" s="7"/>
      <c r="E7" s="7"/>
      <c r="F7" s="7"/>
      <c r="G7" s="7"/>
      <c r="H7" s="7"/>
      <c r="I7" s="7"/>
      <c r="J7" s="7"/>
      <c r="K7" s="7"/>
      <c r="L7" s="7"/>
    </row>
    <row r="8">
      <c r="A8" s="8" t="s">
        <v>6</v>
      </c>
    </row>
    <row r="9">
      <c r="A9" s="8" t="s">
        <v>7</v>
      </c>
    </row>
    <row r="10">
      <c r="A10" s="8" t="s">
        <v>447</v>
      </c>
    </row>
    <row r="11">
      <c r="A11" s="8" t="s">
        <v>8</v>
      </c>
    </row>
    <row r="12">
      <c r="A12" s="8" t="s">
        <v>9</v>
      </c>
    </row>
    <row r="15">
      <c r="A15" s="9" t="s">
        <v>10</v>
      </c>
      <c r="B15" s="10" t="s">
        <v>11</v>
      </c>
      <c r="C15" s="10" t="s">
        <v>12</v>
      </c>
      <c r="D15" s="10" t="s">
        <v>13</v>
      </c>
      <c r="F15" s="11" t="s">
        <v>14</v>
      </c>
      <c r="G15" s="11" t="s">
        <v>15</v>
      </c>
      <c r="H15" s="11" t="s">
        <v>16</v>
      </c>
      <c r="J15" s="11" t="s">
        <v>17</v>
      </c>
      <c r="K15" s="11" t="s">
        <v>18</v>
      </c>
      <c r="L15" s="11" t="s">
        <v>19</v>
      </c>
    </row>
    <row r="16">
      <c r="A16" s="125" t="s">
        <v>756</v>
      </c>
      <c r="B16" s="13"/>
      <c r="C16" s="14" t="s">
        <v>627</v>
      </c>
      <c r="D16" s="15">
        <v>37.0</v>
      </c>
      <c r="E16" s="8"/>
      <c r="F16" s="16" t="s">
        <v>392</v>
      </c>
      <c r="G16" s="20">
        <f>D16+D20+D26+D34+D39+D40+D48+D50</f>
        <v>152</v>
      </c>
      <c r="H16" s="8" t="s">
        <v>170</v>
      </c>
      <c r="J16" s="8" t="s">
        <v>23</v>
      </c>
      <c r="K16" s="19">
        <v>0.45</v>
      </c>
      <c r="L16" s="8">
        <f t="shared" ref="L16:L20" si="1">K16*$D$66</f>
        <v>391.95</v>
      </c>
      <c r="M16" s="8"/>
    </row>
    <row r="17">
      <c r="A17" s="125" t="s">
        <v>757</v>
      </c>
      <c r="B17" s="22"/>
      <c r="C17" s="23" t="s">
        <v>758</v>
      </c>
      <c r="D17" s="24">
        <v>69.0</v>
      </c>
      <c r="E17" s="8"/>
      <c r="F17" s="16" t="s">
        <v>393</v>
      </c>
      <c r="G17" s="20">
        <f>D18/2+D21/2+D24/2+D27+D30/2+D33+D38+D49+D59+D64</f>
        <v>117.5</v>
      </c>
      <c r="H17" s="8" t="s">
        <v>170</v>
      </c>
      <c r="I17" s="8"/>
      <c r="J17" s="8" t="s">
        <v>26</v>
      </c>
      <c r="K17" s="19">
        <v>0.25</v>
      </c>
      <c r="L17" s="8">
        <f t="shared" si="1"/>
        <v>217.75</v>
      </c>
      <c r="M17" s="8"/>
    </row>
    <row r="18">
      <c r="A18" s="125" t="s">
        <v>759</v>
      </c>
      <c r="B18" s="25"/>
      <c r="C18" s="23" t="s">
        <v>760</v>
      </c>
      <c r="D18" s="24">
        <v>26.0</v>
      </c>
      <c r="E18" s="8"/>
      <c r="F18" s="16" t="s">
        <v>408</v>
      </c>
      <c r="G18" s="20">
        <f>D36+D56</f>
        <v>15</v>
      </c>
      <c r="H18" s="8" t="s">
        <v>170</v>
      </c>
      <c r="I18" s="8"/>
      <c r="J18" s="8" t="s">
        <v>29</v>
      </c>
      <c r="K18" s="19">
        <v>0.15</v>
      </c>
      <c r="L18" s="8">
        <f t="shared" si="1"/>
        <v>130.65</v>
      </c>
      <c r="M18" s="8" t="s">
        <v>761</v>
      </c>
    </row>
    <row r="19">
      <c r="A19" s="125" t="s">
        <v>762</v>
      </c>
      <c r="B19" s="22"/>
      <c r="C19" s="23" t="s">
        <v>763</v>
      </c>
      <c r="D19" s="24">
        <v>49.0</v>
      </c>
      <c r="E19" s="8"/>
      <c r="F19" s="16" t="s">
        <v>410</v>
      </c>
      <c r="G19" s="20">
        <f>D19/2+D23+D29+D45+D52+D53+D54+D61</f>
        <v>107.5</v>
      </c>
      <c r="H19" s="8" t="s">
        <v>170</v>
      </c>
      <c r="I19" s="8"/>
      <c r="J19" s="8" t="s">
        <v>32</v>
      </c>
      <c r="K19" s="19">
        <v>0.1</v>
      </c>
      <c r="L19" s="8">
        <f t="shared" si="1"/>
        <v>87.1</v>
      </c>
      <c r="M19" s="8"/>
    </row>
    <row r="20">
      <c r="A20" s="125" t="s">
        <v>764</v>
      </c>
      <c r="B20" s="25"/>
      <c r="C20" s="23" t="s">
        <v>627</v>
      </c>
      <c r="D20" s="24">
        <v>35.0</v>
      </c>
      <c r="E20" s="8"/>
      <c r="F20" s="16" t="s">
        <v>401</v>
      </c>
      <c r="G20" s="20">
        <f>D17/2+D19/2+D22+D42+D55+D60+D65+D69</f>
        <v>186</v>
      </c>
      <c r="H20" s="8" t="s">
        <v>170</v>
      </c>
      <c r="I20" s="8"/>
      <c r="J20" s="8" t="s">
        <v>36</v>
      </c>
      <c r="K20" s="19">
        <v>0.05</v>
      </c>
      <c r="L20" s="8">
        <f t="shared" si="1"/>
        <v>43.55</v>
      </c>
      <c r="M20" s="8"/>
    </row>
    <row r="21">
      <c r="A21" s="125" t="s">
        <v>765</v>
      </c>
      <c r="B21" s="25"/>
      <c r="C21" s="23" t="s">
        <v>766</v>
      </c>
      <c r="D21" s="24">
        <v>30.0</v>
      </c>
      <c r="E21" s="8"/>
      <c r="F21" s="16" t="s">
        <v>404</v>
      </c>
      <c r="G21" s="20">
        <f>D17/2</f>
        <v>34.5</v>
      </c>
      <c r="H21" s="8" t="s">
        <v>170</v>
      </c>
      <c r="I21" s="8"/>
      <c r="J21" s="8"/>
      <c r="K21" s="8"/>
      <c r="L21" s="8"/>
    </row>
    <row r="22">
      <c r="A22" s="125" t="s">
        <v>767</v>
      </c>
      <c r="B22" s="25"/>
      <c r="C22" s="23" t="s">
        <v>768</v>
      </c>
      <c r="D22" s="24">
        <v>30.0</v>
      </c>
      <c r="E22" s="8"/>
      <c r="F22" s="16" t="s">
        <v>402</v>
      </c>
      <c r="G22" s="20">
        <f>D21/2+D24/2+D25+D30/2+D35+D41+D44+D47+D58</f>
        <v>121.5</v>
      </c>
      <c r="H22" s="8" t="s">
        <v>170</v>
      </c>
      <c r="I22" s="16"/>
      <c r="J22" s="20"/>
      <c r="K22" s="8"/>
      <c r="L22" s="8"/>
    </row>
    <row r="23">
      <c r="A23" s="125" t="s">
        <v>769</v>
      </c>
      <c r="B23" s="25"/>
      <c r="C23" s="23" t="s">
        <v>629</v>
      </c>
      <c r="D23" s="24">
        <v>29.0</v>
      </c>
      <c r="E23" s="8"/>
      <c r="F23" s="16" t="s">
        <v>394</v>
      </c>
      <c r="G23" s="20">
        <f>D57</f>
        <v>3</v>
      </c>
      <c r="H23" s="8" t="s">
        <v>170</v>
      </c>
      <c r="I23" s="8"/>
      <c r="J23" s="26" t="s">
        <v>45</v>
      </c>
      <c r="K23" s="27"/>
      <c r="L23" s="8"/>
    </row>
    <row r="24">
      <c r="A24" s="125" t="s">
        <v>770</v>
      </c>
      <c r="B24" s="25"/>
      <c r="C24" s="23" t="s">
        <v>766</v>
      </c>
      <c r="D24" s="24">
        <v>22.0</v>
      </c>
      <c r="E24" s="8"/>
      <c r="F24" s="16" t="s">
        <v>400</v>
      </c>
      <c r="G24" s="20">
        <f>D32+D37+D43+D46+D51+D63</f>
        <v>69</v>
      </c>
      <c r="H24" s="8" t="s">
        <v>170</v>
      </c>
      <c r="I24" s="8"/>
      <c r="J24" s="66">
        <v>1.0</v>
      </c>
      <c r="K24" s="66" t="s">
        <v>67</v>
      </c>
      <c r="L24" s="8" t="s">
        <v>771</v>
      </c>
      <c r="M24" s="108">
        <f>L16/2</f>
        <v>195.975</v>
      </c>
      <c r="N24" s="8">
        <f>L16/2</f>
        <v>195.975</v>
      </c>
    </row>
    <row r="25">
      <c r="A25" s="125" t="s">
        <v>772</v>
      </c>
      <c r="B25" s="25"/>
      <c r="C25" s="23" t="s">
        <v>773</v>
      </c>
      <c r="D25" s="24">
        <v>35.0</v>
      </c>
      <c r="E25" s="8"/>
      <c r="F25" s="16" t="s">
        <v>406</v>
      </c>
      <c r="G25" s="20">
        <f>D18/2+D28+D31</f>
        <v>63</v>
      </c>
      <c r="H25" s="8" t="s">
        <v>170</v>
      </c>
      <c r="I25" s="8"/>
      <c r="J25" s="73">
        <v>2.0</v>
      </c>
      <c r="K25" s="73" t="s">
        <v>356</v>
      </c>
      <c r="L25" s="8" t="s">
        <v>400</v>
      </c>
      <c r="M25" s="108">
        <f t="shared" ref="M25:M26" si="2">L17</f>
        <v>217.75</v>
      </c>
      <c r="N25" s="8"/>
    </row>
    <row r="26">
      <c r="A26" s="125" t="s">
        <v>774</v>
      </c>
      <c r="B26" s="25"/>
      <c r="C26" s="23" t="s">
        <v>627</v>
      </c>
      <c r="D26" s="24">
        <v>32.0</v>
      </c>
      <c r="E26" s="8"/>
      <c r="F26" s="16" t="s">
        <v>407</v>
      </c>
      <c r="G26" s="20">
        <f>D62</f>
        <v>2</v>
      </c>
      <c r="H26" s="8" t="s">
        <v>170</v>
      </c>
      <c r="J26" s="66">
        <v>3.0</v>
      </c>
      <c r="K26" s="66" t="s">
        <v>135</v>
      </c>
      <c r="L26" s="8" t="s">
        <v>775</v>
      </c>
      <c r="M26" s="108">
        <f t="shared" si="2"/>
        <v>130.65</v>
      </c>
      <c r="N26" s="8"/>
    </row>
    <row r="27">
      <c r="A27" s="125" t="s">
        <v>776</v>
      </c>
      <c r="B27" s="25"/>
      <c r="C27" s="23" t="s">
        <v>777</v>
      </c>
      <c r="D27" s="24">
        <v>28.0</v>
      </c>
      <c r="E27" s="8"/>
      <c r="F27" s="130" t="s">
        <v>73</v>
      </c>
      <c r="G27" s="78">
        <f>sum(G16:G26)</f>
        <v>871</v>
      </c>
      <c r="H27" s="8"/>
      <c r="J27" s="73" t="s">
        <v>264</v>
      </c>
      <c r="K27" s="73" t="s">
        <v>27</v>
      </c>
      <c r="L27" s="8" t="s">
        <v>28</v>
      </c>
      <c r="M27" s="108">
        <f>(L19+L20)/2</f>
        <v>65.325</v>
      </c>
      <c r="N27" s="8"/>
    </row>
    <row r="28">
      <c r="A28" s="125" t="s">
        <v>778</v>
      </c>
      <c r="B28" s="25"/>
      <c r="C28" s="23" t="s">
        <v>779</v>
      </c>
      <c r="D28" s="24">
        <v>25.0</v>
      </c>
      <c r="E28" s="8"/>
      <c r="I28" s="8"/>
      <c r="J28" s="66" t="s">
        <v>264</v>
      </c>
      <c r="K28" s="66" t="s">
        <v>463</v>
      </c>
      <c r="L28" s="8" t="s">
        <v>400</v>
      </c>
      <c r="M28" s="108">
        <f>(L19+L20)/2</f>
        <v>65.325</v>
      </c>
      <c r="N28" s="8"/>
    </row>
    <row r="29">
      <c r="A29" s="125" t="s">
        <v>780</v>
      </c>
      <c r="B29" s="25"/>
      <c r="C29" s="23" t="s">
        <v>629</v>
      </c>
      <c r="D29" s="24">
        <v>24.0</v>
      </c>
      <c r="E29" s="8"/>
      <c r="F29" s="16"/>
      <c r="G29" s="20"/>
      <c r="H29" s="8"/>
      <c r="I29" s="8"/>
      <c r="J29" s="73"/>
      <c r="K29" s="73"/>
      <c r="L29" s="60"/>
      <c r="M29" s="8"/>
    </row>
    <row r="30">
      <c r="A30" s="125" t="s">
        <v>781</v>
      </c>
      <c r="B30" s="25"/>
      <c r="C30" s="23" t="s">
        <v>782</v>
      </c>
      <c r="D30" s="24">
        <v>27.0</v>
      </c>
      <c r="E30" s="8"/>
      <c r="F30" s="16"/>
      <c r="G30" s="20"/>
      <c r="H30" s="8"/>
      <c r="I30" s="8"/>
      <c r="J30" s="60"/>
      <c r="K30" s="8" t="s">
        <v>783</v>
      </c>
      <c r="L30" s="112">
        <f>M24+M26</f>
        <v>326.625</v>
      </c>
      <c r="M30" s="8" t="s">
        <v>784</v>
      </c>
    </row>
    <row r="31">
      <c r="A31" s="125" t="s">
        <v>785</v>
      </c>
      <c r="B31" s="25"/>
      <c r="C31" s="23" t="s">
        <v>779</v>
      </c>
      <c r="D31" s="24">
        <v>25.0</v>
      </c>
      <c r="E31" s="8"/>
      <c r="F31" s="16"/>
      <c r="G31" s="20"/>
      <c r="H31" s="8"/>
      <c r="I31" s="8"/>
      <c r="J31" s="8"/>
      <c r="K31" s="8" t="s">
        <v>786</v>
      </c>
      <c r="L31" s="113">
        <f>N24</f>
        <v>195.975</v>
      </c>
      <c r="M31" s="8" t="s">
        <v>784</v>
      </c>
    </row>
    <row r="32">
      <c r="A32" s="125" t="s">
        <v>787</v>
      </c>
      <c r="B32" s="25"/>
      <c r="C32" s="23" t="s">
        <v>630</v>
      </c>
      <c r="D32" s="24">
        <v>20.0</v>
      </c>
      <c r="E32" s="8"/>
      <c r="F32" s="16"/>
      <c r="G32" s="20"/>
      <c r="H32" s="8"/>
      <c r="I32" s="8"/>
      <c r="J32" s="8"/>
      <c r="K32" s="8" t="s">
        <v>788</v>
      </c>
      <c r="L32" s="113">
        <f>M25+M28</f>
        <v>283.075</v>
      </c>
      <c r="M32" s="8" t="s">
        <v>784</v>
      </c>
    </row>
    <row r="33">
      <c r="A33" s="125" t="s">
        <v>789</v>
      </c>
      <c r="B33" s="25"/>
      <c r="C33" s="23" t="s">
        <v>777</v>
      </c>
      <c r="D33" s="24">
        <v>10.0</v>
      </c>
      <c r="E33" s="8"/>
      <c r="F33" s="16"/>
      <c r="G33" s="20"/>
      <c r="H33" s="8"/>
      <c r="I33" s="16"/>
      <c r="J33" s="20"/>
      <c r="K33" s="8" t="s">
        <v>790</v>
      </c>
      <c r="L33" s="113">
        <f>M27</f>
        <v>65.325</v>
      </c>
      <c r="M33" s="8" t="s">
        <v>784</v>
      </c>
    </row>
    <row r="34">
      <c r="A34" s="125" t="s">
        <v>791</v>
      </c>
      <c r="B34" s="25"/>
      <c r="C34" s="23" t="s">
        <v>627</v>
      </c>
      <c r="D34" s="24">
        <v>12.0</v>
      </c>
      <c r="E34" s="8"/>
      <c r="F34" s="16"/>
      <c r="G34" s="20"/>
      <c r="H34" s="8"/>
      <c r="I34" s="8"/>
      <c r="J34" s="8"/>
      <c r="K34" s="8"/>
      <c r="L34" s="8"/>
    </row>
    <row r="35">
      <c r="A35" s="125" t="s">
        <v>792</v>
      </c>
      <c r="B35" s="25"/>
      <c r="C35" s="23" t="s">
        <v>773</v>
      </c>
      <c r="D35" s="24">
        <v>11.0</v>
      </c>
      <c r="E35" s="8"/>
      <c r="F35" s="16"/>
      <c r="G35" s="20"/>
      <c r="H35" s="8"/>
      <c r="I35" s="8"/>
      <c r="J35" s="8"/>
      <c r="K35" s="8"/>
      <c r="L35" s="8"/>
    </row>
    <row r="36">
      <c r="A36" s="125" t="s">
        <v>793</v>
      </c>
      <c r="B36" s="25"/>
      <c r="C36" s="23" t="s">
        <v>794</v>
      </c>
      <c r="D36" s="24">
        <v>12.0</v>
      </c>
      <c r="E36" s="8"/>
      <c r="F36" s="16"/>
      <c r="G36" s="20"/>
      <c r="H36" s="8"/>
      <c r="I36" s="8"/>
      <c r="J36" s="8"/>
      <c r="K36" s="8"/>
      <c r="L36" s="8"/>
    </row>
    <row r="37">
      <c r="A37" s="125" t="s">
        <v>795</v>
      </c>
      <c r="B37" s="25"/>
      <c r="C37" s="23" t="s">
        <v>630</v>
      </c>
      <c r="D37" s="24">
        <v>18.0</v>
      </c>
      <c r="E37" s="8"/>
      <c r="F37" s="8"/>
      <c r="G37" s="8"/>
      <c r="H37" s="8"/>
      <c r="I37" s="8"/>
      <c r="J37" s="8"/>
      <c r="K37" s="8"/>
      <c r="L37" s="8"/>
    </row>
    <row r="38">
      <c r="A38" s="125" t="s">
        <v>796</v>
      </c>
      <c r="B38" s="25"/>
      <c r="C38" s="23" t="s">
        <v>777</v>
      </c>
      <c r="D38" s="24">
        <v>13.0</v>
      </c>
      <c r="E38" s="8"/>
      <c r="F38" s="79" t="s">
        <v>407</v>
      </c>
      <c r="G38" s="38" t="s">
        <v>392</v>
      </c>
      <c r="H38" s="38" t="s">
        <v>406</v>
      </c>
      <c r="I38" s="38" t="s">
        <v>631</v>
      </c>
      <c r="J38" s="114" t="s">
        <v>408</v>
      </c>
      <c r="K38" s="38" t="s">
        <v>410</v>
      </c>
      <c r="L38" s="8"/>
    </row>
    <row r="39">
      <c r="A39" s="125" t="s">
        <v>797</v>
      </c>
      <c r="B39" s="25"/>
      <c r="C39" s="23" t="s">
        <v>627</v>
      </c>
      <c r="D39" s="24">
        <v>10.0</v>
      </c>
      <c r="E39" s="8"/>
      <c r="F39" s="131" t="s">
        <v>798</v>
      </c>
      <c r="G39" s="115" t="s">
        <v>799</v>
      </c>
      <c r="H39" s="115" t="s">
        <v>800</v>
      </c>
      <c r="I39" s="115" t="s">
        <v>801</v>
      </c>
      <c r="J39" s="115" t="s">
        <v>802</v>
      </c>
      <c r="K39" s="115" t="s">
        <v>803</v>
      </c>
      <c r="L39" s="8"/>
    </row>
    <row r="40">
      <c r="A40" s="125" t="s">
        <v>804</v>
      </c>
      <c r="B40" s="25"/>
      <c r="C40" s="23" t="s">
        <v>627</v>
      </c>
      <c r="D40" s="24">
        <v>10.0</v>
      </c>
      <c r="E40" s="8"/>
      <c r="F40" s="132"/>
      <c r="G40" s="115" t="s">
        <v>805</v>
      </c>
      <c r="H40" s="115" t="s">
        <v>806</v>
      </c>
      <c r="I40" s="115" t="s">
        <v>807</v>
      </c>
      <c r="J40" s="131" t="s">
        <v>808</v>
      </c>
      <c r="K40" s="115" t="s">
        <v>809</v>
      </c>
      <c r="L40" s="8"/>
    </row>
    <row r="41">
      <c r="A41" s="125" t="s">
        <v>810</v>
      </c>
      <c r="B41" s="25"/>
      <c r="C41" s="23" t="s">
        <v>773</v>
      </c>
      <c r="D41" s="24">
        <v>10.0</v>
      </c>
      <c r="E41" s="8"/>
      <c r="F41" s="60"/>
      <c r="G41" s="115" t="s">
        <v>811</v>
      </c>
      <c r="H41" s="131" t="s">
        <v>812</v>
      </c>
      <c r="I41" s="133" t="s">
        <v>813</v>
      </c>
      <c r="J41" s="134"/>
      <c r="K41" s="115" t="s">
        <v>814</v>
      </c>
      <c r="L41" s="8"/>
    </row>
    <row r="42">
      <c r="A42" s="125" t="s">
        <v>815</v>
      </c>
      <c r="B42" s="25"/>
      <c r="C42" s="23" t="s">
        <v>768</v>
      </c>
      <c r="D42" s="24">
        <v>10.0</v>
      </c>
      <c r="E42" s="8"/>
      <c r="F42" s="60"/>
      <c r="G42" s="133" t="s">
        <v>816</v>
      </c>
      <c r="H42" s="131"/>
      <c r="I42" s="135" t="s">
        <v>817</v>
      </c>
      <c r="J42" s="136"/>
      <c r="K42" s="115" t="s">
        <v>818</v>
      </c>
      <c r="L42" s="8"/>
    </row>
    <row r="43">
      <c r="A43" s="125" t="s">
        <v>819</v>
      </c>
      <c r="B43" s="25"/>
      <c r="C43" s="23" t="s">
        <v>630</v>
      </c>
      <c r="D43" s="24">
        <v>10.0</v>
      </c>
      <c r="E43" s="8"/>
      <c r="F43" s="60"/>
      <c r="G43" s="133" t="s">
        <v>820</v>
      </c>
      <c r="H43" s="40"/>
      <c r="I43" s="135" t="s">
        <v>821</v>
      </c>
      <c r="J43" s="136"/>
      <c r="K43" s="115" t="s">
        <v>822</v>
      </c>
      <c r="L43" s="8"/>
    </row>
    <row r="44">
      <c r="A44" s="125" t="s">
        <v>823</v>
      </c>
      <c r="B44" s="25"/>
      <c r="C44" s="23" t="s">
        <v>773</v>
      </c>
      <c r="D44" s="24">
        <v>10.0</v>
      </c>
      <c r="E44" s="8"/>
      <c r="F44" s="60"/>
      <c r="G44" s="133" t="s">
        <v>824</v>
      </c>
      <c r="H44" s="40"/>
      <c r="I44" s="135" t="s">
        <v>825</v>
      </c>
      <c r="J44" s="136"/>
      <c r="K44" s="115" t="s">
        <v>826</v>
      </c>
      <c r="L44" s="8"/>
    </row>
    <row r="45">
      <c r="A45" s="125" t="s">
        <v>827</v>
      </c>
      <c r="B45" s="25"/>
      <c r="C45" s="23" t="s">
        <v>629</v>
      </c>
      <c r="D45" s="24">
        <v>11.0</v>
      </c>
      <c r="E45" s="8"/>
      <c r="F45" s="60"/>
      <c r="G45" s="133" t="s">
        <v>828</v>
      </c>
      <c r="H45" s="40"/>
      <c r="I45" s="135" t="s">
        <v>829</v>
      </c>
      <c r="J45" s="136"/>
      <c r="K45" s="115" t="s">
        <v>830</v>
      </c>
      <c r="L45" s="8"/>
    </row>
    <row r="46">
      <c r="A46" s="125" t="s">
        <v>831</v>
      </c>
      <c r="B46" s="25"/>
      <c r="C46" s="23" t="s">
        <v>630</v>
      </c>
      <c r="D46" s="24">
        <v>12.0</v>
      </c>
      <c r="E46" s="8"/>
      <c r="F46" s="60"/>
      <c r="G46" s="133" t="s">
        <v>818</v>
      </c>
      <c r="H46" s="40"/>
      <c r="I46" s="133" t="s">
        <v>812</v>
      </c>
      <c r="J46" s="136"/>
      <c r="K46" s="115" t="s">
        <v>832</v>
      </c>
      <c r="L46" s="8"/>
    </row>
    <row r="47">
      <c r="A47" s="125" t="s">
        <v>833</v>
      </c>
      <c r="B47" s="25"/>
      <c r="C47" s="23" t="s">
        <v>773</v>
      </c>
      <c r="D47" s="24">
        <v>11.0</v>
      </c>
      <c r="E47" s="8"/>
      <c r="F47" s="60"/>
      <c r="G47" s="60"/>
      <c r="H47" s="60"/>
      <c r="I47" s="133" t="s">
        <v>834</v>
      </c>
      <c r="J47" s="136"/>
      <c r="K47" s="60"/>
      <c r="L47" s="8"/>
    </row>
    <row r="48">
      <c r="A48" s="125" t="s">
        <v>835</v>
      </c>
      <c r="B48" s="25"/>
      <c r="C48" s="23" t="s">
        <v>627</v>
      </c>
      <c r="D48" s="24">
        <v>8.0</v>
      </c>
      <c r="E48" s="8"/>
      <c r="F48" s="60"/>
      <c r="G48" s="60"/>
      <c r="H48" s="60"/>
      <c r="I48" s="133" t="s">
        <v>836</v>
      </c>
      <c r="J48" s="136"/>
      <c r="K48" s="60"/>
      <c r="L48" s="8"/>
    </row>
    <row r="49">
      <c r="A49" s="125" t="s">
        <v>837</v>
      </c>
      <c r="B49" s="25"/>
      <c r="C49" s="23" t="s">
        <v>777</v>
      </c>
      <c r="D49" s="24">
        <v>10.0</v>
      </c>
      <c r="E49" s="8"/>
      <c r="L49" s="8"/>
    </row>
    <row r="50">
      <c r="A50" s="125" t="s">
        <v>838</v>
      </c>
      <c r="B50" s="25"/>
      <c r="C50" s="23" t="s">
        <v>627</v>
      </c>
      <c r="D50" s="24">
        <v>8.0</v>
      </c>
      <c r="E50" s="8"/>
      <c r="F50" s="38" t="s">
        <v>401</v>
      </c>
      <c r="G50" s="38" t="s">
        <v>404</v>
      </c>
      <c r="H50" s="38" t="s">
        <v>402</v>
      </c>
      <c r="I50" s="38" t="s">
        <v>394</v>
      </c>
      <c r="J50" s="38" t="s">
        <v>400</v>
      </c>
      <c r="K50" s="8"/>
      <c r="L50" s="8"/>
    </row>
    <row r="51">
      <c r="A51" s="125" t="s">
        <v>839</v>
      </c>
      <c r="B51" s="61"/>
      <c r="C51" s="23" t="s">
        <v>630</v>
      </c>
      <c r="D51" s="24">
        <v>6.0</v>
      </c>
      <c r="E51" s="8"/>
      <c r="F51" s="115" t="s">
        <v>840</v>
      </c>
      <c r="G51" s="131" t="s">
        <v>841</v>
      </c>
      <c r="H51" s="115" t="s">
        <v>842</v>
      </c>
      <c r="I51" s="115" t="s">
        <v>843</v>
      </c>
      <c r="J51" s="115" t="s">
        <v>844</v>
      </c>
      <c r="K51" s="8"/>
      <c r="L51" s="8"/>
    </row>
    <row r="52">
      <c r="A52" s="125" t="s">
        <v>845</v>
      </c>
      <c r="B52" s="40"/>
      <c r="C52" s="8" t="s">
        <v>629</v>
      </c>
      <c r="D52" s="24">
        <v>9.0</v>
      </c>
      <c r="E52" s="8"/>
      <c r="F52" s="115" t="s">
        <v>846</v>
      </c>
      <c r="G52" s="132"/>
      <c r="H52" s="115" t="s">
        <v>847</v>
      </c>
      <c r="I52" s="60"/>
      <c r="J52" s="115" t="s">
        <v>848</v>
      </c>
      <c r="K52" s="8"/>
      <c r="L52" s="8"/>
    </row>
    <row r="53">
      <c r="A53" s="125" t="s">
        <v>849</v>
      </c>
      <c r="B53" s="40"/>
      <c r="C53" s="23" t="s">
        <v>629</v>
      </c>
      <c r="D53" s="23">
        <v>5.0</v>
      </c>
      <c r="E53" s="8"/>
      <c r="F53" s="115" t="s">
        <v>850</v>
      </c>
      <c r="G53" s="60"/>
      <c r="H53" s="115" t="s">
        <v>851</v>
      </c>
      <c r="I53" s="60"/>
      <c r="J53" s="115" t="s">
        <v>852</v>
      </c>
      <c r="K53" s="8"/>
      <c r="L53" s="8"/>
    </row>
    <row r="54">
      <c r="A54" s="125" t="s">
        <v>853</v>
      </c>
      <c r="B54" s="40"/>
      <c r="C54" s="23" t="s">
        <v>629</v>
      </c>
      <c r="D54" s="23">
        <v>2.0</v>
      </c>
      <c r="E54" s="8"/>
      <c r="F54" s="115" t="s">
        <v>854</v>
      </c>
      <c r="G54" s="60"/>
      <c r="H54" s="115" t="s">
        <v>855</v>
      </c>
      <c r="I54" s="60"/>
      <c r="J54" s="115" t="s">
        <v>856</v>
      </c>
      <c r="K54" s="8"/>
      <c r="L54" s="8"/>
    </row>
    <row r="55">
      <c r="A55" s="125" t="s">
        <v>857</v>
      </c>
      <c r="B55" s="40"/>
      <c r="C55" s="23" t="s">
        <v>768</v>
      </c>
      <c r="D55" s="23">
        <v>6.0</v>
      </c>
      <c r="E55" s="8"/>
      <c r="F55" s="115" t="s">
        <v>858</v>
      </c>
      <c r="G55" s="60"/>
      <c r="H55" s="115" t="s">
        <v>859</v>
      </c>
      <c r="I55" s="60"/>
      <c r="J55" s="115" t="s">
        <v>860</v>
      </c>
      <c r="K55" s="8"/>
      <c r="L55" s="8"/>
    </row>
    <row r="56">
      <c r="A56" s="125" t="s">
        <v>861</v>
      </c>
      <c r="B56" s="40"/>
      <c r="C56" s="62" t="s">
        <v>794</v>
      </c>
      <c r="D56" s="23">
        <v>3.0</v>
      </c>
      <c r="E56" s="8"/>
      <c r="F56" s="115" t="s">
        <v>832</v>
      </c>
      <c r="G56" s="60"/>
      <c r="H56" s="115" t="s">
        <v>862</v>
      </c>
      <c r="I56" s="60"/>
      <c r="J56" s="131" t="s">
        <v>863</v>
      </c>
      <c r="K56" s="8"/>
      <c r="L56" s="8"/>
    </row>
    <row r="57">
      <c r="A57" s="125" t="s">
        <v>864</v>
      </c>
      <c r="B57" s="40"/>
      <c r="C57" s="62" t="s">
        <v>865</v>
      </c>
      <c r="D57" s="23">
        <v>3.0</v>
      </c>
      <c r="E57" s="8"/>
      <c r="F57" s="115" t="s">
        <v>841</v>
      </c>
      <c r="G57" s="60"/>
      <c r="H57" s="115" t="s">
        <v>836</v>
      </c>
      <c r="I57" s="8"/>
      <c r="J57" s="137"/>
      <c r="K57" s="8"/>
      <c r="L57" s="8"/>
    </row>
    <row r="58">
      <c r="A58" s="125" t="s">
        <v>866</v>
      </c>
      <c r="B58" s="40"/>
      <c r="C58" s="62" t="s">
        <v>773</v>
      </c>
      <c r="D58" s="23">
        <v>5.0</v>
      </c>
      <c r="E58" s="8"/>
      <c r="F58" s="115" t="s">
        <v>103</v>
      </c>
      <c r="G58" s="8"/>
      <c r="H58" s="115" t="s">
        <v>834</v>
      </c>
      <c r="I58" s="8"/>
      <c r="J58" s="8"/>
      <c r="K58" s="8"/>
      <c r="L58" s="8"/>
    </row>
    <row r="59">
      <c r="A59" s="125" t="s">
        <v>867</v>
      </c>
      <c r="B59" s="40"/>
      <c r="C59" s="62" t="s">
        <v>777</v>
      </c>
      <c r="D59" s="23">
        <v>2.0</v>
      </c>
      <c r="E59" s="8"/>
      <c r="F59" s="60"/>
      <c r="G59" s="60"/>
      <c r="H59" s="115" t="s">
        <v>825</v>
      </c>
      <c r="I59" s="60"/>
      <c r="J59" s="60"/>
      <c r="K59" s="8"/>
      <c r="L59" s="8"/>
    </row>
    <row r="60">
      <c r="A60" s="125" t="s">
        <v>868</v>
      </c>
      <c r="B60" s="40"/>
      <c r="C60" s="39" t="s">
        <v>768</v>
      </c>
      <c r="D60" s="23">
        <v>3.0</v>
      </c>
      <c r="E60" s="8"/>
      <c r="F60" s="60"/>
      <c r="G60" s="60"/>
      <c r="H60" s="60"/>
      <c r="I60" s="60"/>
      <c r="J60" s="8"/>
      <c r="K60" s="8"/>
      <c r="L60" s="8"/>
    </row>
    <row r="61">
      <c r="A61" s="125" t="s">
        <v>869</v>
      </c>
      <c r="B61" s="40"/>
      <c r="C61" s="39" t="s">
        <v>629</v>
      </c>
      <c r="D61" s="23">
        <v>3.0</v>
      </c>
      <c r="E61" s="8"/>
      <c r="F61" s="60"/>
      <c r="G61" s="60"/>
      <c r="H61" s="8"/>
      <c r="I61" s="8"/>
      <c r="J61" s="8"/>
      <c r="K61" s="8"/>
      <c r="L61" s="8"/>
    </row>
    <row r="62">
      <c r="A62" s="125" t="s">
        <v>870</v>
      </c>
      <c r="B62" s="40"/>
      <c r="C62" s="39" t="s">
        <v>822</v>
      </c>
      <c r="D62" s="23">
        <v>2.0</v>
      </c>
      <c r="E62" s="8"/>
      <c r="F62" s="60"/>
      <c r="G62" s="60"/>
      <c r="H62" s="60"/>
      <c r="I62" s="60"/>
      <c r="J62" s="8"/>
      <c r="K62" s="8"/>
      <c r="L62" s="8"/>
    </row>
    <row r="63">
      <c r="A63" s="125" t="s">
        <v>871</v>
      </c>
      <c r="B63" s="40"/>
      <c r="C63" s="62" t="s">
        <v>630</v>
      </c>
      <c r="D63" s="23">
        <v>3.0</v>
      </c>
      <c r="E63" s="8"/>
      <c r="F63" s="60"/>
      <c r="G63" s="60"/>
      <c r="H63" s="8"/>
      <c r="I63" s="8"/>
      <c r="J63" s="8"/>
      <c r="K63" s="8"/>
      <c r="L63" s="8"/>
    </row>
    <row r="64">
      <c r="A64" s="125" t="s">
        <v>872</v>
      </c>
      <c r="B64" s="40"/>
      <c r="C64" s="39" t="s">
        <v>777</v>
      </c>
      <c r="D64" s="23">
        <v>2.0</v>
      </c>
      <c r="E64" s="8"/>
      <c r="F64" s="60"/>
      <c r="G64" s="60"/>
      <c r="H64" s="60"/>
      <c r="I64" s="60"/>
      <c r="J64" s="8"/>
      <c r="K64" s="8"/>
      <c r="L64" s="8"/>
    </row>
    <row r="65">
      <c r="A65" s="138" t="s">
        <v>873</v>
      </c>
      <c r="B65" s="64"/>
      <c r="C65" s="119" t="s">
        <v>768</v>
      </c>
      <c r="D65" s="65">
        <v>3.0</v>
      </c>
      <c r="E65" s="8"/>
      <c r="F65" s="60"/>
      <c r="G65" s="60"/>
      <c r="H65" s="8"/>
      <c r="I65" s="8"/>
      <c r="J65" s="8"/>
      <c r="K65" s="8"/>
      <c r="L65" s="8"/>
    </row>
    <row r="66">
      <c r="B66" s="46"/>
      <c r="C66" s="12"/>
      <c r="D66" s="88">
        <f>sum(D16:D65)+D69</f>
        <v>871</v>
      </c>
      <c r="E66" s="8"/>
      <c r="F66" s="60"/>
      <c r="G66" s="60"/>
      <c r="H66" s="60"/>
      <c r="I66" s="60"/>
      <c r="J66" s="8"/>
      <c r="K66" s="8"/>
      <c r="L66" s="8"/>
    </row>
    <row r="67">
      <c r="B67" s="46"/>
      <c r="C67" s="89"/>
      <c r="D67" s="90" t="str">
        <f>if(G27-D66=0,"No","Yes")</f>
        <v>No</v>
      </c>
      <c r="E67" s="8"/>
      <c r="F67" s="60"/>
      <c r="G67" s="60"/>
      <c r="H67" s="8"/>
      <c r="I67" s="8"/>
      <c r="J67" s="8"/>
      <c r="K67" s="8"/>
      <c r="L67" s="8"/>
    </row>
    <row r="68">
      <c r="B68" s="46"/>
      <c r="C68" s="12"/>
      <c r="E68" s="8"/>
      <c r="F68" s="60"/>
      <c r="G68" s="60"/>
      <c r="H68" s="60"/>
      <c r="I68" s="60"/>
      <c r="J68" s="8"/>
      <c r="K68" s="8"/>
      <c r="L68" s="8"/>
    </row>
    <row r="69">
      <c r="A69" s="139" t="s">
        <v>103</v>
      </c>
      <c r="B69" s="140"/>
      <c r="C69" s="140" t="s">
        <v>768</v>
      </c>
      <c r="D69" s="141">
        <v>75.0</v>
      </c>
      <c r="E69" s="8"/>
      <c r="F69" s="60"/>
      <c r="G69" s="60"/>
      <c r="H69" s="8"/>
      <c r="I69" s="8"/>
      <c r="J69" s="8"/>
      <c r="K69" s="8"/>
      <c r="L69" s="8"/>
    </row>
    <row r="70">
      <c r="A70" s="105" t="s">
        <v>874</v>
      </c>
      <c r="B70" s="46"/>
      <c r="C70" s="46" t="s">
        <v>768</v>
      </c>
      <c r="E70" s="8"/>
      <c r="F70" s="60"/>
      <c r="G70" s="60"/>
      <c r="H70" s="60"/>
      <c r="I70" s="60"/>
      <c r="J70" s="8"/>
      <c r="K70" s="8"/>
      <c r="L70" s="8"/>
    </row>
    <row r="71">
      <c r="A71" s="105" t="s">
        <v>875</v>
      </c>
      <c r="B71" s="46"/>
      <c r="C71" s="46" t="s">
        <v>768</v>
      </c>
      <c r="E71" s="8"/>
      <c r="F71" s="8"/>
      <c r="G71" s="8"/>
      <c r="H71" s="8"/>
      <c r="I71" s="8"/>
      <c r="J71" s="8"/>
      <c r="K71" s="8"/>
      <c r="L71" s="8"/>
    </row>
    <row r="72">
      <c r="A72" s="105" t="s">
        <v>876</v>
      </c>
      <c r="B72" s="46"/>
      <c r="C72" s="46" t="s">
        <v>768</v>
      </c>
      <c r="E72" s="8"/>
      <c r="F72" s="8"/>
      <c r="G72" s="8"/>
      <c r="H72" s="8"/>
      <c r="I72" s="8"/>
      <c r="J72" s="8"/>
      <c r="K72" s="8"/>
      <c r="L72" s="8"/>
    </row>
    <row r="73">
      <c r="A73" s="105" t="s">
        <v>877</v>
      </c>
      <c r="B73" s="46"/>
      <c r="C73" s="46" t="s">
        <v>768</v>
      </c>
      <c r="E73" s="8"/>
      <c r="F73" s="8"/>
      <c r="G73" s="8"/>
      <c r="H73" s="8"/>
      <c r="I73" s="8"/>
      <c r="J73" s="8"/>
      <c r="K73" s="8"/>
      <c r="L73" s="8"/>
    </row>
    <row r="74">
      <c r="A74" s="105" t="s">
        <v>556</v>
      </c>
      <c r="B74" s="46"/>
      <c r="C74" s="46" t="s">
        <v>768</v>
      </c>
      <c r="E74" s="8"/>
      <c r="F74" s="8"/>
      <c r="G74" s="8"/>
      <c r="H74" s="8"/>
      <c r="I74" s="8"/>
      <c r="J74" s="8"/>
      <c r="K74" s="8"/>
      <c r="L74" s="8"/>
    </row>
    <row r="75">
      <c r="A75" s="105" t="s">
        <v>878</v>
      </c>
      <c r="B75" s="46"/>
      <c r="C75" s="46" t="s">
        <v>768</v>
      </c>
      <c r="E75" s="8"/>
      <c r="F75" s="8"/>
      <c r="G75" s="8"/>
      <c r="H75" s="8"/>
      <c r="I75" s="8"/>
      <c r="J75" s="8"/>
      <c r="K75" s="8"/>
      <c r="L75" s="8"/>
    </row>
    <row r="76">
      <c r="A76" s="105" t="s">
        <v>879</v>
      </c>
      <c r="B76" s="46"/>
      <c r="C76" s="46" t="s">
        <v>768</v>
      </c>
      <c r="E76" s="8"/>
      <c r="F76" s="8"/>
      <c r="G76" s="8"/>
      <c r="H76" s="8"/>
      <c r="I76" s="8"/>
      <c r="J76" s="8"/>
      <c r="K76" s="8"/>
      <c r="L76" s="8"/>
    </row>
    <row r="77">
      <c r="A77" s="105" t="s">
        <v>880</v>
      </c>
      <c r="B77" s="46"/>
      <c r="C77" s="46" t="s">
        <v>768</v>
      </c>
      <c r="E77" s="8"/>
      <c r="F77" s="8"/>
      <c r="G77" s="8"/>
      <c r="H77" s="8"/>
      <c r="I77" s="8"/>
      <c r="J77" s="8"/>
      <c r="K77" s="8"/>
      <c r="L77" s="8"/>
    </row>
    <row r="78">
      <c r="A78" s="105" t="s">
        <v>881</v>
      </c>
      <c r="B78" s="46"/>
      <c r="C78" s="46" t="s">
        <v>768</v>
      </c>
      <c r="E78" s="8"/>
      <c r="F78" s="8"/>
      <c r="G78" s="8"/>
      <c r="H78" s="8"/>
      <c r="I78" s="8"/>
      <c r="J78" s="8"/>
      <c r="K78" s="8"/>
      <c r="L78" s="8"/>
    </row>
    <row r="79">
      <c r="A79" s="105" t="s">
        <v>882</v>
      </c>
      <c r="B79" s="46"/>
      <c r="C79" s="46" t="s">
        <v>768</v>
      </c>
      <c r="E79" s="8"/>
      <c r="F79" s="8"/>
      <c r="G79" s="8"/>
      <c r="H79" s="8"/>
      <c r="I79" s="8"/>
      <c r="J79" s="8"/>
      <c r="K79" s="8"/>
      <c r="L79" s="8"/>
    </row>
    <row r="80">
      <c r="A80" s="105" t="s">
        <v>883</v>
      </c>
      <c r="B80" s="46"/>
      <c r="C80" s="46" t="s">
        <v>768</v>
      </c>
      <c r="E80" s="8"/>
      <c r="F80" s="8"/>
      <c r="G80" s="8"/>
      <c r="H80" s="8"/>
      <c r="I80" s="8"/>
      <c r="J80" s="8"/>
      <c r="K80" s="8"/>
      <c r="L80" s="8"/>
    </row>
    <row r="81">
      <c r="A81" s="105" t="s">
        <v>884</v>
      </c>
      <c r="B81" s="46"/>
      <c r="C81" s="46" t="s">
        <v>768</v>
      </c>
      <c r="E81" s="8"/>
      <c r="F81" s="8"/>
      <c r="G81" s="8"/>
      <c r="H81" s="8"/>
      <c r="I81" s="8"/>
      <c r="J81" s="8"/>
      <c r="K81" s="8"/>
      <c r="L81" s="8"/>
    </row>
    <row r="82">
      <c r="A82" s="105" t="s">
        <v>885</v>
      </c>
      <c r="B82" s="46"/>
      <c r="C82" s="46" t="s">
        <v>768</v>
      </c>
      <c r="E82" s="8"/>
      <c r="F82" s="8"/>
      <c r="G82" s="8"/>
      <c r="H82" s="8"/>
      <c r="I82" s="8"/>
      <c r="J82" s="8"/>
      <c r="K82" s="8"/>
      <c r="L82" s="8"/>
    </row>
    <row r="83">
      <c r="A83" s="105" t="s">
        <v>886</v>
      </c>
      <c r="B83" s="46"/>
      <c r="C83" s="46" t="s">
        <v>768</v>
      </c>
      <c r="E83" s="8"/>
      <c r="F83" s="8"/>
      <c r="G83" s="8"/>
      <c r="H83" s="8"/>
      <c r="I83" s="8"/>
      <c r="J83" s="8"/>
      <c r="K83" s="8"/>
      <c r="L83" s="8"/>
    </row>
    <row r="84">
      <c r="A84" s="105" t="s">
        <v>887</v>
      </c>
      <c r="B84" s="46"/>
      <c r="C84" s="46" t="s">
        <v>768</v>
      </c>
      <c r="E84" s="8"/>
      <c r="F84" s="8"/>
      <c r="G84" s="8"/>
      <c r="H84" s="8"/>
      <c r="I84" s="8"/>
      <c r="J84" s="8"/>
      <c r="K84" s="8"/>
      <c r="L84" s="8"/>
    </row>
    <row r="85">
      <c r="A85" s="105" t="s">
        <v>888</v>
      </c>
      <c r="B85" s="46"/>
      <c r="C85" s="46" t="s">
        <v>768</v>
      </c>
      <c r="E85" s="8"/>
      <c r="F85" s="8"/>
      <c r="G85" s="8"/>
      <c r="H85" s="8"/>
      <c r="I85" s="8"/>
      <c r="J85" s="8"/>
      <c r="K85" s="8"/>
      <c r="L85" s="8"/>
    </row>
    <row r="86">
      <c r="A86" s="105" t="s">
        <v>889</v>
      </c>
      <c r="B86" s="46"/>
      <c r="C86" s="46" t="s">
        <v>768</v>
      </c>
      <c r="E86" s="8"/>
      <c r="F86" s="8"/>
      <c r="G86" s="8"/>
      <c r="H86" s="8"/>
      <c r="I86" s="8"/>
      <c r="J86" s="8"/>
      <c r="K86" s="8"/>
      <c r="L86" s="8"/>
    </row>
    <row r="87">
      <c r="A87" s="105" t="s">
        <v>890</v>
      </c>
      <c r="B87" s="46"/>
      <c r="C87" s="46" t="s">
        <v>768</v>
      </c>
      <c r="E87" s="8"/>
      <c r="F87" s="8"/>
      <c r="G87" s="8"/>
      <c r="H87" s="8"/>
      <c r="I87" s="8"/>
      <c r="J87" s="8"/>
      <c r="K87" s="8"/>
      <c r="L87" s="8"/>
    </row>
    <row r="88">
      <c r="A88" s="105" t="s">
        <v>891</v>
      </c>
      <c r="B88" s="46"/>
      <c r="C88" s="46" t="s">
        <v>768</v>
      </c>
      <c r="E88" s="8"/>
      <c r="F88" s="8"/>
      <c r="G88" s="8"/>
      <c r="H88" s="8"/>
      <c r="I88" s="8"/>
      <c r="J88" s="8"/>
      <c r="K88" s="8"/>
      <c r="L88" s="8"/>
    </row>
    <row r="89">
      <c r="A89" s="105" t="s">
        <v>892</v>
      </c>
      <c r="B89" s="46"/>
      <c r="C89" s="46" t="s">
        <v>768</v>
      </c>
      <c r="E89" s="8"/>
      <c r="F89" s="8"/>
      <c r="G89" s="8"/>
      <c r="H89" s="8"/>
      <c r="I89" s="8"/>
      <c r="J89" s="8"/>
      <c r="K89" s="8"/>
      <c r="L89" s="8"/>
    </row>
    <row r="90">
      <c r="A90" s="105" t="s">
        <v>893</v>
      </c>
      <c r="B90" s="46"/>
      <c r="C90" s="46" t="s">
        <v>768</v>
      </c>
      <c r="E90" s="8"/>
      <c r="F90" s="8"/>
      <c r="G90" s="8"/>
      <c r="H90" s="8"/>
      <c r="I90" s="8"/>
      <c r="J90" s="8"/>
      <c r="K90" s="8"/>
      <c r="L90" s="8"/>
    </row>
    <row r="91">
      <c r="A91" s="105" t="s">
        <v>894</v>
      </c>
      <c r="B91" s="46"/>
      <c r="C91" s="46" t="s">
        <v>768</v>
      </c>
      <c r="E91" s="8"/>
      <c r="F91" s="8"/>
      <c r="G91" s="8"/>
      <c r="H91" s="8"/>
      <c r="I91" s="8"/>
      <c r="J91" s="8"/>
      <c r="K91" s="8"/>
      <c r="L91" s="8"/>
    </row>
    <row r="92">
      <c r="A92" s="105" t="s">
        <v>895</v>
      </c>
      <c r="B92" s="46"/>
      <c r="C92" s="46" t="s">
        <v>768</v>
      </c>
      <c r="E92" s="8"/>
      <c r="F92" s="8"/>
      <c r="G92" s="8"/>
      <c r="H92" s="8"/>
      <c r="I92" s="8"/>
      <c r="J92" s="8"/>
      <c r="K92" s="8"/>
      <c r="L92" s="8"/>
    </row>
    <row r="93">
      <c r="A93" s="105" t="s">
        <v>896</v>
      </c>
      <c r="B93" s="46"/>
      <c r="C93" s="46" t="s">
        <v>768</v>
      </c>
      <c r="E93" s="8"/>
      <c r="F93" s="8"/>
      <c r="G93" s="8"/>
      <c r="H93" s="8"/>
      <c r="I93" s="8"/>
      <c r="J93" s="8"/>
      <c r="K93" s="8"/>
      <c r="L93" s="8"/>
    </row>
    <row r="94">
      <c r="A94" s="105" t="s">
        <v>897</v>
      </c>
      <c r="B94" s="46"/>
      <c r="C94" s="46" t="s">
        <v>768</v>
      </c>
      <c r="E94" s="8"/>
      <c r="F94" s="8"/>
      <c r="G94" s="8"/>
      <c r="H94" s="8"/>
      <c r="I94" s="8"/>
      <c r="J94" s="8"/>
      <c r="K94" s="8"/>
      <c r="L94" s="8"/>
    </row>
    <row r="95">
      <c r="A95" s="105" t="s">
        <v>898</v>
      </c>
      <c r="B95" s="46"/>
      <c r="C95" s="46" t="s">
        <v>768</v>
      </c>
      <c r="E95" s="8"/>
      <c r="F95" s="8"/>
      <c r="G95" s="8"/>
      <c r="H95" s="8"/>
      <c r="I95" s="8"/>
      <c r="J95" s="8"/>
      <c r="K95" s="8"/>
      <c r="L95" s="8"/>
    </row>
    <row r="96">
      <c r="A96" s="105" t="s">
        <v>899</v>
      </c>
      <c r="B96" s="46"/>
      <c r="C96" s="46" t="s">
        <v>768</v>
      </c>
      <c r="E96" s="8"/>
      <c r="F96" s="8"/>
      <c r="G96" s="8"/>
      <c r="H96" s="8"/>
      <c r="I96" s="8"/>
      <c r="J96" s="8"/>
      <c r="K96" s="8"/>
      <c r="L96" s="8"/>
    </row>
    <row r="97">
      <c r="A97" s="105" t="s">
        <v>900</v>
      </c>
      <c r="B97" s="46"/>
      <c r="C97" s="46" t="s">
        <v>768</v>
      </c>
      <c r="E97" s="8"/>
      <c r="F97" s="8"/>
      <c r="G97" s="8"/>
      <c r="H97" s="8"/>
      <c r="I97" s="8"/>
      <c r="J97" s="8"/>
      <c r="K97" s="8"/>
      <c r="L97" s="8"/>
    </row>
    <row r="98">
      <c r="A98" s="105" t="s">
        <v>901</v>
      </c>
      <c r="B98" s="46"/>
      <c r="C98" s="46" t="s">
        <v>768</v>
      </c>
      <c r="E98" s="8"/>
      <c r="F98" s="8"/>
      <c r="G98" s="8"/>
      <c r="H98" s="8"/>
      <c r="I98" s="8"/>
      <c r="J98" s="8"/>
      <c r="K98" s="8"/>
      <c r="L98" s="8"/>
    </row>
    <row r="99">
      <c r="A99" s="105" t="s">
        <v>902</v>
      </c>
      <c r="B99" s="46"/>
      <c r="C99" s="46" t="s">
        <v>768</v>
      </c>
      <c r="E99" s="8"/>
      <c r="F99" s="8"/>
      <c r="G99" s="8"/>
      <c r="H99" s="8"/>
      <c r="I99" s="8"/>
      <c r="J99" s="8"/>
      <c r="K99" s="8"/>
      <c r="L99" s="8"/>
    </row>
    <row r="100">
      <c r="A100" s="105" t="s">
        <v>903</v>
      </c>
      <c r="B100" s="46"/>
      <c r="C100" s="46" t="s">
        <v>768</v>
      </c>
      <c r="E100" s="8"/>
      <c r="F100" s="8"/>
      <c r="G100" s="8"/>
      <c r="H100" s="8"/>
      <c r="I100" s="8"/>
      <c r="J100" s="8"/>
      <c r="K100" s="8"/>
      <c r="L100" s="8"/>
    </row>
    <row r="101">
      <c r="A101" s="105" t="s">
        <v>904</v>
      </c>
      <c r="B101" s="46"/>
      <c r="C101" s="46" t="s">
        <v>768</v>
      </c>
      <c r="E101" s="8"/>
      <c r="F101" s="8"/>
      <c r="G101" s="8"/>
      <c r="H101" s="8"/>
      <c r="I101" s="8"/>
      <c r="J101" s="8"/>
      <c r="K101" s="8"/>
      <c r="L101" s="8"/>
    </row>
    <row r="102">
      <c r="A102" s="105" t="s">
        <v>905</v>
      </c>
      <c r="B102" s="46"/>
      <c r="C102" s="46" t="s">
        <v>768</v>
      </c>
      <c r="E102" s="8"/>
      <c r="F102" s="8"/>
      <c r="G102" s="8"/>
      <c r="H102" s="8"/>
      <c r="I102" s="8"/>
      <c r="J102" s="8"/>
      <c r="K102" s="8"/>
      <c r="L102" s="8"/>
    </row>
    <row r="103">
      <c r="A103" s="105" t="s">
        <v>906</v>
      </c>
      <c r="B103" s="46"/>
      <c r="C103" s="46" t="s">
        <v>768</v>
      </c>
      <c r="E103" s="8"/>
      <c r="F103" s="8"/>
      <c r="G103" s="8"/>
      <c r="H103" s="8"/>
      <c r="I103" s="8"/>
      <c r="J103" s="8"/>
      <c r="K103" s="8"/>
      <c r="L103" s="8"/>
    </row>
    <row r="104">
      <c r="A104" s="105" t="s">
        <v>573</v>
      </c>
      <c r="B104" s="46"/>
      <c r="C104" s="46" t="s">
        <v>768</v>
      </c>
      <c r="E104" s="8"/>
      <c r="F104" s="8"/>
      <c r="G104" s="8"/>
      <c r="H104" s="8"/>
      <c r="I104" s="8"/>
      <c r="J104" s="8"/>
      <c r="K104" s="8"/>
      <c r="L104" s="8"/>
    </row>
    <row r="105">
      <c r="A105" s="105" t="s">
        <v>907</v>
      </c>
      <c r="B105" s="46"/>
      <c r="C105" s="46" t="s">
        <v>768</v>
      </c>
      <c r="E105" s="8"/>
      <c r="F105" s="8"/>
      <c r="G105" s="8"/>
      <c r="H105" s="8"/>
      <c r="I105" s="8"/>
      <c r="J105" s="8"/>
      <c r="K105" s="8"/>
      <c r="L105" s="8"/>
    </row>
    <row r="106">
      <c r="A106" s="105" t="s">
        <v>908</v>
      </c>
      <c r="B106" s="46"/>
      <c r="C106" s="46" t="s">
        <v>768</v>
      </c>
      <c r="E106" s="8"/>
      <c r="F106" s="8"/>
      <c r="G106" s="8"/>
      <c r="H106" s="8"/>
      <c r="I106" s="8"/>
      <c r="J106" s="8"/>
      <c r="K106" s="8"/>
      <c r="L106" s="8"/>
    </row>
    <row r="107">
      <c r="A107" s="105" t="s">
        <v>909</v>
      </c>
      <c r="B107" s="46"/>
      <c r="C107" s="46" t="s">
        <v>768</v>
      </c>
      <c r="E107" s="8"/>
      <c r="F107" s="8"/>
      <c r="G107" s="8"/>
      <c r="H107" s="8"/>
      <c r="I107" s="8"/>
      <c r="J107" s="8"/>
      <c r="K107" s="8"/>
      <c r="L107" s="8"/>
    </row>
    <row r="108">
      <c r="A108" s="105" t="s">
        <v>910</v>
      </c>
      <c r="B108" s="46"/>
      <c r="C108" s="46" t="s">
        <v>768</v>
      </c>
      <c r="E108" s="8"/>
      <c r="F108" s="8"/>
      <c r="G108" s="8"/>
      <c r="H108" s="8"/>
      <c r="I108" s="8"/>
      <c r="J108" s="8"/>
      <c r="K108" s="8"/>
      <c r="L108" s="8"/>
    </row>
    <row r="109">
      <c r="A109" s="105" t="s">
        <v>911</v>
      </c>
      <c r="B109" s="46"/>
      <c r="C109" s="46" t="s">
        <v>768</v>
      </c>
      <c r="E109" s="8"/>
      <c r="F109" s="8"/>
      <c r="G109" s="8"/>
      <c r="H109" s="8"/>
      <c r="I109" s="8"/>
      <c r="J109" s="8"/>
      <c r="K109" s="8"/>
      <c r="L109" s="8"/>
    </row>
    <row r="110">
      <c r="A110" s="105" t="s">
        <v>912</v>
      </c>
      <c r="B110" s="46"/>
      <c r="C110" s="46" t="s">
        <v>768</v>
      </c>
      <c r="E110" s="8"/>
      <c r="F110" s="8"/>
      <c r="G110" s="8"/>
      <c r="H110" s="8"/>
      <c r="I110" s="8"/>
      <c r="J110" s="8"/>
      <c r="K110" s="8"/>
      <c r="L110" s="8"/>
    </row>
    <row r="111">
      <c r="A111" s="105" t="s">
        <v>913</v>
      </c>
      <c r="B111" s="46"/>
      <c r="C111" s="46" t="s">
        <v>768</v>
      </c>
      <c r="E111" s="8"/>
      <c r="F111" s="8"/>
      <c r="G111" s="8"/>
      <c r="H111" s="8"/>
      <c r="I111" s="8"/>
      <c r="J111" s="8"/>
      <c r="K111" s="8"/>
      <c r="L111" s="8"/>
    </row>
    <row r="112">
      <c r="A112" s="105" t="s">
        <v>914</v>
      </c>
      <c r="B112" s="46"/>
      <c r="C112" s="46" t="s">
        <v>768</v>
      </c>
      <c r="E112" s="8"/>
      <c r="F112" s="8"/>
      <c r="G112" s="8"/>
      <c r="H112" s="8"/>
      <c r="I112" s="8"/>
      <c r="J112" s="8"/>
      <c r="K112" s="8"/>
      <c r="L112" s="8"/>
    </row>
    <row r="113">
      <c r="A113" s="105" t="s">
        <v>576</v>
      </c>
      <c r="B113" s="46"/>
      <c r="C113" s="46" t="s">
        <v>768</v>
      </c>
      <c r="E113" s="8"/>
      <c r="F113" s="8"/>
      <c r="G113" s="8"/>
      <c r="H113" s="8"/>
      <c r="I113" s="8"/>
      <c r="J113" s="8"/>
      <c r="K113" s="8"/>
      <c r="L113" s="8"/>
    </row>
    <row r="114">
      <c r="A114" s="105" t="s">
        <v>915</v>
      </c>
      <c r="B114" s="46"/>
      <c r="C114" s="46" t="s">
        <v>768</v>
      </c>
      <c r="E114" s="8"/>
      <c r="F114" s="8"/>
      <c r="G114" s="8"/>
      <c r="H114" s="8"/>
      <c r="I114" s="8"/>
      <c r="J114" s="8"/>
      <c r="K114" s="8"/>
      <c r="L114" s="8"/>
    </row>
    <row r="115">
      <c r="A115" s="105" t="s">
        <v>916</v>
      </c>
      <c r="B115" s="46"/>
      <c r="C115" s="46" t="s">
        <v>768</v>
      </c>
    </row>
    <row r="116">
      <c r="A116" s="105" t="s">
        <v>917</v>
      </c>
      <c r="B116" s="46"/>
      <c r="C116" s="46" t="s">
        <v>768</v>
      </c>
    </row>
    <row r="117">
      <c r="A117" s="105" t="s">
        <v>918</v>
      </c>
      <c r="B117" s="46"/>
      <c r="C117" s="46" t="s">
        <v>768</v>
      </c>
    </row>
    <row r="118">
      <c r="A118" s="105" t="s">
        <v>919</v>
      </c>
      <c r="B118" s="46"/>
      <c r="C118" s="46" t="s">
        <v>768</v>
      </c>
    </row>
    <row r="119">
      <c r="A119" s="105" t="s">
        <v>920</v>
      </c>
      <c r="B119" s="46"/>
      <c r="C119" s="46" t="s">
        <v>768</v>
      </c>
    </row>
    <row r="120">
      <c r="A120" s="105" t="s">
        <v>921</v>
      </c>
      <c r="B120" s="46"/>
      <c r="C120" s="46" t="s">
        <v>768</v>
      </c>
    </row>
    <row r="121">
      <c r="A121" s="105" t="s">
        <v>922</v>
      </c>
      <c r="B121" s="46"/>
      <c r="C121" s="46" t="s">
        <v>768</v>
      </c>
    </row>
    <row r="122">
      <c r="A122" s="105" t="s">
        <v>923</v>
      </c>
      <c r="B122" s="46"/>
      <c r="C122" s="46" t="s">
        <v>768</v>
      </c>
    </row>
    <row r="123">
      <c r="A123" s="105" t="s">
        <v>924</v>
      </c>
      <c r="B123" s="46"/>
      <c r="C123" s="46" t="s">
        <v>768</v>
      </c>
    </row>
    <row r="124">
      <c r="A124" s="105" t="s">
        <v>925</v>
      </c>
      <c r="B124" s="46"/>
      <c r="C124" s="46" t="s">
        <v>768</v>
      </c>
    </row>
    <row r="125">
      <c r="A125" s="105" t="s">
        <v>926</v>
      </c>
      <c r="B125" s="46"/>
      <c r="C125" s="46" t="s">
        <v>768</v>
      </c>
    </row>
    <row r="126">
      <c r="A126" s="105" t="s">
        <v>927</v>
      </c>
      <c r="B126" s="46"/>
      <c r="C126" s="46" t="s">
        <v>768</v>
      </c>
    </row>
    <row r="127">
      <c r="A127" s="105" t="s">
        <v>928</v>
      </c>
      <c r="B127" s="46"/>
      <c r="C127" s="46" t="s">
        <v>768</v>
      </c>
    </row>
    <row r="128">
      <c r="A128" s="105" t="s">
        <v>929</v>
      </c>
      <c r="B128" s="46"/>
      <c r="C128" s="46" t="s">
        <v>768</v>
      </c>
    </row>
    <row r="129">
      <c r="A129" s="105" t="s">
        <v>930</v>
      </c>
      <c r="B129" s="46"/>
      <c r="C129" s="46" t="s">
        <v>768</v>
      </c>
    </row>
    <row r="130">
      <c r="A130" s="105" t="s">
        <v>931</v>
      </c>
      <c r="B130" s="46"/>
      <c r="C130" s="46" t="s">
        <v>768</v>
      </c>
    </row>
    <row r="131">
      <c r="A131" s="105" t="s">
        <v>932</v>
      </c>
      <c r="B131" s="46"/>
      <c r="C131" s="46" t="s">
        <v>768</v>
      </c>
    </row>
    <row r="132">
      <c r="A132" s="105" t="s">
        <v>933</v>
      </c>
      <c r="B132" s="46"/>
      <c r="C132" s="46" t="s">
        <v>768</v>
      </c>
    </row>
    <row r="133">
      <c r="A133" s="105" t="s">
        <v>934</v>
      </c>
      <c r="B133" s="46"/>
      <c r="C133" s="46" t="s">
        <v>768</v>
      </c>
    </row>
    <row r="134">
      <c r="A134" s="105" t="s">
        <v>935</v>
      </c>
      <c r="B134" s="46"/>
      <c r="C134" s="46" t="s">
        <v>768</v>
      </c>
    </row>
    <row r="135">
      <c r="A135" s="105" t="s">
        <v>936</v>
      </c>
      <c r="B135" s="46"/>
      <c r="C135" s="46" t="s">
        <v>768</v>
      </c>
    </row>
    <row r="136">
      <c r="A136" s="105" t="s">
        <v>937</v>
      </c>
      <c r="B136" s="46"/>
      <c r="C136" s="46" t="s">
        <v>768</v>
      </c>
    </row>
    <row r="137">
      <c r="A137" s="105" t="s">
        <v>938</v>
      </c>
      <c r="B137" s="46"/>
      <c r="C137" s="46" t="s">
        <v>768</v>
      </c>
    </row>
    <row r="138">
      <c r="A138" s="105" t="s">
        <v>939</v>
      </c>
      <c r="B138" s="46"/>
      <c r="C138" s="46" t="s">
        <v>768</v>
      </c>
    </row>
    <row r="139">
      <c r="A139" s="105" t="s">
        <v>940</v>
      </c>
      <c r="B139" s="46"/>
      <c r="C139" s="46" t="s">
        <v>768</v>
      </c>
    </row>
    <row r="140">
      <c r="A140" s="105" t="s">
        <v>941</v>
      </c>
      <c r="B140" s="46"/>
      <c r="C140" s="46" t="s">
        <v>768</v>
      </c>
    </row>
    <row r="141">
      <c r="A141" s="105" t="s">
        <v>942</v>
      </c>
      <c r="B141" s="46"/>
      <c r="C141" s="46" t="s">
        <v>768</v>
      </c>
    </row>
    <row r="142">
      <c r="A142" s="105" t="s">
        <v>943</v>
      </c>
      <c r="B142" s="46"/>
      <c r="C142" s="46" t="s">
        <v>768</v>
      </c>
    </row>
    <row r="143">
      <c r="A143" s="105" t="s">
        <v>944</v>
      </c>
      <c r="B143" s="46"/>
      <c r="C143" s="46" t="s">
        <v>768</v>
      </c>
    </row>
    <row r="144">
      <c r="A144" s="105" t="s">
        <v>945</v>
      </c>
      <c r="B144" s="46"/>
      <c r="C144" s="46" t="s">
        <v>768</v>
      </c>
    </row>
    <row r="145">
      <c r="A145" s="105" t="s">
        <v>946</v>
      </c>
      <c r="B145" s="46"/>
      <c r="C145" s="46" t="s">
        <v>768</v>
      </c>
    </row>
    <row r="146">
      <c r="A146" s="105" t="s">
        <v>947</v>
      </c>
      <c r="B146" s="46"/>
      <c r="C146" s="46" t="s">
        <v>768</v>
      </c>
    </row>
    <row r="147">
      <c r="A147" s="105" t="s">
        <v>948</v>
      </c>
      <c r="B147" s="46"/>
      <c r="C147" s="46" t="s">
        <v>768</v>
      </c>
    </row>
    <row r="148">
      <c r="A148" s="105" t="s">
        <v>949</v>
      </c>
      <c r="B148" s="46"/>
      <c r="C148" s="46" t="s">
        <v>768</v>
      </c>
    </row>
    <row r="149">
      <c r="A149" s="105" t="s">
        <v>950</v>
      </c>
      <c r="B149" s="46"/>
      <c r="C149" s="46" t="s">
        <v>768</v>
      </c>
    </row>
    <row r="150">
      <c r="A150" s="105" t="s">
        <v>594</v>
      </c>
      <c r="B150" s="46"/>
      <c r="C150" s="46" t="s">
        <v>768</v>
      </c>
    </row>
    <row r="151">
      <c r="A151" s="105" t="s">
        <v>951</v>
      </c>
      <c r="B151" s="46"/>
      <c r="C151" s="46" t="s">
        <v>768</v>
      </c>
    </row>
    <row r="152">
      <c r="A152" s="105" t="s">
        <v>952</v>
      </c>
      <c r="B152" s="46"/>
      <c r="C152" s="46" t="s">
        <v>768</v>
      </c>
    </row>
    <row r="153">
      <c r="A153" s="105" t="s">
        <v>953</v>
      </c>
      <c r="B153" s="46"/>
      <c r="C153" s="46" t="s">
        <v>768</v>
      </c>
    </row>
    <row r="154">
      <c r="A154" s="105" t="s">
        <v>954</v>
      </c>
      <c r="B154" s="46"/>
      <c r="C154" s="46" t="s">
        <v>768</v>
      </c>
    </row>
    <row r="155">
      <c r="A155" s="105" t="s">
        <v>955</v>
      </c>
      <c r="B155" s="46"/>
      <c r="C155" s="46" t="s">
        <v>768</v>
      </c>
    </row>
    <row r="156">
      <c r="A156" s="105" t="s">
        <v>956</v>
      </c>
      <c r="B156" s="46"/>
      <c r="C156" s="46" t="s">
        <v>768</v>
      </c>
    </row>
    <row r="157">
      <c r="A157" s="105" t="s">
        <v>957</v>
      </c>
      <c r="B157" s="46"/>
      <c r="C157" s="46" t="s">
        <v>768</v>
      </c>
    </row>
    <row r="158">
      <c r="A158" s="105" t="s">
        <v>958</v>
      </c>
      <c r="B158" s="46"/>
      <c r="C158" s="46" t="s">
        <v>768</v>
      </c>
    </row>
    <row r="159">
      <c r="A159" s="105" t="s">
        <v>959</v>
      </c>
      <c r="B159" s="46"/>
      <c r="C159" s="46" t="s">
        <v>768</v>
      </c>
    </row>
    <row r="160">
      <c r="A160" s="105" t="s">
        <v>960</v>
      </c>
      <c r="B160" s="46"/>
      <c r="C160" s="46" t="s">
        <v>768</v>
      </c>
    </row>
    <row r="161">
      <c r="A161" s="105" t="s">
        <v>961</v>
      </c>
      <c r="B161" s="46"/>
      <c r="C161" s="46" t="s">
        <v>768</v>
      </c>
    </row>
    <row r="162">
      <c r="A162" s="105" t="s">
        <v>962</v>
      </c>
      <c r="B162" s="46"/>
      <c r="C162" s="46" t="s">
        <v>768</v>
      </c>
    </row>
    <row r="163">
      <c r="A163" s="105" t="s">
        <v>963</v>
      </c>
      <c r="B163" s="46"/>
      <c r="C163" s="46" t="s">
        <v>768</v>
      </c>
    </row>
    <row r="164">
      <c r="A164" s="105" t="s">
        <v>964</v>
      </c>
      <c r="B164" s="46"/>
      <c r="C164" s="46" t="s">
        <v>768</v>
      </c>
    </row>
    <row r="165">
      <c r="A165" s="105" t="s">
        <v>965</v>
      </c>
      <c r="B165" s="46"/>
      <c r="C165" s="46" t="s">
        <v>768</v>
      </c>
    </row>
    <row r="166">
      <c r="A166" s="105" t="s">
        <v>966</v>
      </c>
      <c r="B166" s="46"/>
      <c r="C166" s="46" t="s">
        <v>768</v>
      </c>
    </row>
    <row r="167">
      <c r="A167" s="105" t="s">
        <v>967</v>
      </c>
      <c r="B167" s="46"/>
      <c r="C167" s="46" t="s">
        <v>768</v>
      </c>
    </row>
    <row r="168">
      <c r="A168" s="105" t="s">
        <v>968</v>
      </c>
      <c r="B168" s="46"/>
      <c r="C168" s="46" t="s">
        <v>768</v>
      </c>
    </row>
    <row r="169">
      <c r="A169" s="105" t="s">
        <v>969</v>
      </c>
      <c r="B169" s="46"/>
      <c r="C169" s="46" t="s">
        <v>768</v>
      </c>
    </row>
    <row r="170">
      <c r="A170" s="105" t="s">
        <v>970</v>
      </c>
      <c r="B170" s="46"/>
      <c r="C170" s="46" t="s">
        <v>768</v>
      </c>
    </row>
    <row r="171">
      <c r="A171" s="105" t="s">
        <v>971</v>
      </c>
      <c r="B171" s="46"/>
      <c r="C171" s="46" t="s">
        <v>768</v>
      </c>
    </row>
    <row r="172">
      <c r="A172" s="105" t="s">
        <v>972</v>
      </c>
      <c r="B172" s="46"/>
      <c r="C172" s="46" t="s">
        <v>768</v>
      </c>
    </row>
    <row r="173">
      <c r="A173" s="105" t="s">
        <v>973</v>
      </c>
      <c r="B173" s="46"/>
      <c r="C173" s="46" t="s">
        <v>768</v>
      </c>
    </row>
    <row r="174">
      <c r="A174" s="12"/>
    </row>
    <row r="175">
      <c r="A175" s="12"/>
    </row>
    <row r="176">
      <c r="A176" s="12"/>
    </row>
    <row r="177">
      <c r="A177" s="12"/>
    </row>
    <row r="178">
      <c r="A178" s="12"/>
      <c r="B178" s="8"/>
    </row>
    <row r="179">
      <c r="A179" s="12"/>
    </row>
    <row r="180">
      <c r="A180" s="12"/>
    </row>
    <row r="181">
      <c r="A181" s="12"/>
    </row>
  </sheetData>
  <mergeCells count="5">
    <mergeCell ref="A1:L1"/>
    <mergeCell ref="A2:L2"/>
    <mergeCell ref="A3:L3"/>
    <mergeCell ref="A4:L4"/>
    <mergeCell ref="J23:K23"/>
  </mergeCells>
  <conditionalFormatting sqref="D67">
    <cfRule type="cellIs" dxfId="0" priority="1" operator="equal">
      <formula>"Yes"</formula>
    </cfRule>
  </conditionalFormatting>
  <conditionalFormatting sqref="D67">
    <cfRule type="cellIs" dxfId="1" priority="2" operator="equal">
      <formula>"No"</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3" max="3" width="17.0"/>
    <col customWidth="1" min="6" max="6" width="17.5"/>
    <col customWidth="1" min="7" max="7" width="17.13"/>
    <col customWidth="1" min="8" max="8" width="18.75"/>
    <col customWidth="1" min="9" max="9" width="18.13"/>
    <col customWidth="1" min="10" max="10" width="18.0"/>
    <col customWidth="1" min="11" max="11" width="13.88"/>
    <col customWidth="1" min="12" max="12" width="19.13"/>
  </cols>
  <sheetData>
    <row r="1">
      <c r="A1" s="1" t="s">
        <v>974</v>
      </c>
    </row>
    <row r="2">
      <c r="A2" s="2" t="s">
        <v>975</v>
      </c>
    </row>
    <row r="3">
      <c r="A3" s="3" t="s">
        <v>976</v>
      </c>
    </row>
    <row r="4">
      <c r="A4" s="3" t="s">
        <v>445</v>
      </c>
    </row>
    <row r="5">
      <c r="A5" s="4"/>
      <c r="B5" s="4"/>
      <c r="C5" s="4"/>
      <c r="D5" s="4"/>
      <c r="E5" s="4"/>
      <c r="F5" s="4"/>
      <c r="G5" s="4"/>
      <c r="H5" s="4"/>
      <c r="I5" s="4"/>
      <c r="J5" s="5"/>
      <c r="K5" s="5"/>
      <c r="L5" s="5"/>
    </row>
    <row r="6">
      <c r="A6" s="6" t="s">
        <v>4</v>
      </c>
    </row>
    <row r="7">
      <c r="A7" s="7" t="s">
        <v>446</v>
      </c>
      <c r="B7" s="7"/>
      <c r="C7" s="7"/>
      <c r="D7" s="7"/>
      <c r="E7" s="7"/>
      <c r="F7" s="7"/>
      <c r="G7" s="7"/>
      <c r="H7" s="7"/>
      <c r="I7" s="7"/>
      <c r="J7" s="7"/>
      <c r="K7" s="7"/>
      <c r="L7" s="7"/>
    </row>
    <row r="8">
      <c r="A8" s="8" t="s">
        <v>6</v>
      </c>
    </row>
    <row r="9">
      <c r="A9" s="8" t="s">
        <v>7</v>
      </c>
    </row>
    <row r="10">
      <c r="A10" s="8" t="s">
        <v>447</v>
      </c>
    </row>
    <row r="11">
      <c r="A11" s="8" t="s">
        <v>8</v>
      </c>
    </row>
    <row r="12">
      <c r="A12" s="8" t="s">
        <v>9</v>
      </c>
    </row>
    <row r="15">
      <c r="A15" s="9" t="s">
        <v>10</v>
      </c>
      <c r="B15" s="10" t="s">
        <v>11</v>
      </c>
      <c r="C15" s="10" t="s">
        <v>12</v>
      </c>
      <c r="D15" s="10" t="s">
        <v>13</v>
      </c>
      <c r="F15" s="11" t="s">
        <v>14</v>
      </c>
      <c r="G15" s="11" t="s">
        <v>15</v>
      </c>
      <c r="H15" s="11" t="s">
        <v>16</v>
      </c>
      <c r="J15" s="11" t="s">
        <v>17</v>
      </c>
      <c r="K15" s="11" t="s">
        <v>18</v>
      </c>
      <c r="L15" s="11" t="s">
        <v>19</v>
      </c>
    </row>
    <row r="16">
      <c r="A16" s="12" t="s">
        <v>123</v>
      </c>
      <c r="B16" s="13">
        <v>42917.0</v>
      </c>
      <c r="C16" s="14" t="s">
        <v>977</v>
      </c>
      <c r="D16" s="15">
        <v>69.0</v>
      </c>
      <c r="E16" s="8"/>
      <c r="F16" s="16" t="s">
        <v>392</v>
      </c>
      <c r="G16" s="20">
        <v>61.0</v>
      </c>
      <c r="H16" s="8" t="s">
        <v>450</v>
      </c>
      <c r="J16" s="8" t="s">
        <v>23</v>
      </c>
      <c r="K16" s="19">
        <v>0.45</v>
      </c>
      <c r="L16" s="8">
        <f t="shared" ref="L16:L20" si="1">K16*$D$67</f>
        <v>358.65</v>
      </c>
    </row>
    <row r="17">
      <c r="A17" s="12" t="s">
        <v>978</v>
      </c>
      <c r="B17" s="22">
        <v>42979.0</v>
      </c>
      <c r="C17" s="23" t="s">
        <v>979</v>
      </c>
      <c r="D17" s="24">
        <v>62.0</v>
      </c>
      <c r="E17" s="8"/>
      <c r="F17" s="16" t="s">
        <v>405</v>
      </c>
      <c r="G17" s="20">
        <v>8.0</v>
      </c>
      <c r="H17" s="8" t="s">
        <v>450</v>
      </c>
      <c r="I17" s="8"/>
      <c r="J17" s="8" t="s">
        <v>26</v>
      </c>
      <c r="K17" s="19">
        <v>0.25</v>
      </c>
      <c r="L17" s="8">
        <f t="shared" si="1"/>
        <v>199.25</v>
      </c>
    </row>
    <row r="18">
      <c r="A18" s="12" t="s">
        <v>27</v>
      </c>
      <c r="B18" s="22">
        <v>43009.0</v>
      </c>
      <c r="C18" s="23" t="s">
        <v>777</v>
      </c>
      <c r="D18" s="24">
        <v>56.0</v>
      </c>
      <c r="E18" s="8"/>
      <c r="F18" s="16" t="s">
        <v>393</v>
      </c>
      <c r="G18" s="20">
        <v>100.66</v>
      </c>
      <c r="H18" s="8" t="s">
        <v>450</v>
      </c>
      <c r="I18" s="8"/>
      <c r="J18" s="8" t="s">
        <v>29</v>
      </c>
      <c r="K18" s="19">
        <v>0.15</v>
      </c>
      <c r="L18" s="8">
        <f t="shared" si="1"/>
        <v>119.55</v>
      </c>
    </row>
    <row r="19">
      <c r="A19" s="12" t="s">
        <v>93</v>
      </c>
      <c r="B19" s="22">
        <v>43040.0</v>
      </c>
      <c r="C19" s="23" t="s">
        <v>980</v>
      </c>
      <c r="D19" s="24">
        <v>56.0</v>
      </c>
      <c r="E19" s="8"/>
      <c r="F19" s="16" t="s">
        <v>59</v>
      </c>
      <c r="G19" s="20">
        <f>37.67+16</f>
        <v>53.67</v>
      </c>
      <c r="H19" s="8" t="s">
        <v>450</v>
      </c>
      <c r="I19" s="8"/>
      <c r="J19" s="8" t="s">
        <v>32</v>
      </c>
      <c r="K19" s="19">
        <v>0.1</v>
      </c>
      <c r="L19" s="8">
        <f t="shared" si="1"/>
        <v>79.7</v>
      </c>
    </row>
    <row r="20">
      <c r="A20" s="12" t="s">
        <v>24</v>
      </c>
      <c r="B20" s="25" t="s">
        <v>260</v>
      </c>
      <c r="C20" s="23" t="s">
        <v>768</v>
      </c>
      <c r="D20" s="24">
        <v>32.0</v>
      </c>
      <c r="E20" s="8"/>
      <c r="F20" s="16" t="s">
        <v>410</v>
      </c>
      <c r="G20" s="20">
        <v>100.5</v>
      </c>
      <c r="H20" s="8" t="s">
        <v>450</v>
      </c>
      <c r="I20" s="8"/>
      <c r="J20" s="8" t="s">
        <v>36</v>
      </c>
      <c r="K20" s="19">
        <v>0.05</v>
      </c>
      <c r="L20" s="8">
        <f t="shared" si="1"/>
        <v>39.85</v>
      </c>
    </row>
    <row r="21">
      <c r="A21" s="12" t="s">
        <v>237</v>
      </c>
      <c r="B21" s="25" t="s">
        <v>260</v>
      </c>
      <c r="C21" s="23" t="s">
        <v>630</v>
      </c>
      <c r="D21" s="24">
        <v>40.0</v>
      </c>
      <c r="E21" s="8"/>
      <c r="F21" s="16" t="s">
        <v>401</v>
      </c>
      <c r="G21" s="20">
        <v>183.5</v>
      </c>
      <c r="H21" s="8" t="s">
        <v>450</v>
      </c>
      <c r="I21" s="8"/>
      <c r="J21" s="8"/>
      <c r="K21" s="8"/>
      <c r="L21" s="8"/>
    </row>
    <row r="22">
      <c r="A22" s="12" t="s">
        <v>52</v>
      </c>
      <c r="B22" s="25" t="s">
        <v>40</v>
      </c>
      <c r="C22" s="23" t="s">
        <v>627</v>
      </c>
      <c r="D22" s="24">
        <v>30.0</v>
      </c>
      <c r="E22" s="8"/>
      <c r="F22" s="16" t="s">
        <v>404</v>
      </c>
      <c r="G22" s="20">
        <v>56.0</v>
      </c>
      <c r="H22" s="8" t="s">
        <v>450</v>
      </c>
      <c r="I22" s="16"/>
      <c r="J22" s="20"/>
      <c r="K22" s="8"/>
      <c r="L22" s="8"/>
    </row>
    <row r="23">
      <c r="A23" s="12" t="s">
        <v>57</v>
      </c>
      <c r="B23" s="25" t="s">
        <v>172</v>
      </c>
      <c r="C23" s="23" t="s">
        <v>981</v>
      </c>
      <c r="D23" s="24">
        <v>32.0</v>
      </c>
      <c r="E23" s="8"/>
      <c r="F23" s="16" t="s">
        <v>389</v>
      </c>
      <c r="G23" s="20">
        <v>5.0</v>
      </c>
      <c r="H23" s="8" t="s">
        <v>450</v>
      </c>
      <c r="I23" s="8"/>
      <c r="J23" s="26" t="s">
        <v>45</v>
      </c>
      <c r="K23" s="27"/>
      <c r="L23" s="8"/>
    </row>
    <row r="24">
      <c r="A24" s="12" t="s">
        <v>131</v>
      </c>
      <c r="B24" s="25" t="s">
        <v>172</v>
      </c>
      <c r="C24" s="23" t="s">
        <v>629</v>
      </c>
      <c r="D24" s="24">
        <v>26.0</v>
      </c>
      <c r="E24" s="8"/>
      <c r="F24" s="16" t="s">
        <v>402</v>
      </c>
      <c r="G24" s="20">
        <f>103.67-16</f>
        <v>87.67</v>
      </c>
      <c r="H24" s="8" t="s">
        <v>450</v>
      </c>
      <c r="I24" s="8"/>
      <c r="J24" s="66">
        <v>1.0</v>
      </c>
      <c r="K24" s="66" t="s">
        <v>69</v>
      </c>
      <c r="L24" s="108" t="s">
        <v>59</v>
      </c>
      <c r="M24" s="8">
        <f>L16</f>
        <v>358.65</v>
      </c>
    </row>
    <row r="25">
      <c r="A25" s="12" t="s">
        <v>80</v>
      </c>
      <c r="B25" s="25" t="s">
        <v>50</v>
      </c>
      <c r="C25" s="23" t="s">
        <v>982</v>
      </c>
      <c r="D25" s="24">
        <v>25.0</v>
      </c>
      <c r="E25" s="8"/>
      <c r="F25" s="16" t="s">
        <v>394</v>
      </c>
      <c r="G25" s="20">
        <v>7.0</v>
      </c>
      <c r="H25" s="8" t="s">
        <v>450</v>
      </c>
      <c r="I25" s="8"/>
      <c r="J25" s="73" t="s">
        <v>263</v>
      </c>
      <c r="K25" s="73" t="s">
        <v>109</v>
      </c>
      <c r="L25" s="108" t="s">
        <v>608</v>
      </c>
      <c r="M25" s="8">
        <f>(L17+L18)/2</f>
        <v>159.4</v>
      </c>
      <c r="N25" s="8"/>
    </row>
    <row r="26">
      <c r="A26" s="12" t="s">
        <v>82</v>
      </c>
      <c r="B26" s="25" t="s">
        <v>55</v>
      </c>
      <c r="C26" s="23" t="s">
        <v>773</v>
      </c>
      <c r="D26" s="24">
        <v>19.0</v>
      </c>
      <c r="E26" s="8"/>
      <c r="F26" s="16" t="s">
        <v>400</v>
      </c>
      <c r="G26" s="20">
        <v>77.0</v>
      </c>
      <c r="H26" s="8" t="s">
        <v>450</v>
      </c>
      <c r="J26" s="66" t="s">
        <v>263</v>
      </c>
      <c r="K26" s="66" t="s">
        <v>57</v>
      </c>
      <c r="L26" s="108" t="s">
        <v>983</v>
      </c>
      <c r="M26" s="8">
        <f>(L17+L18)/2</f>
        <v>159.4</v>
      </c>
      <c r="N26">
        <f>M26/2</f>
        <v>79.7</v>
      </c>
    </row>
    <row r="27">
      <c r="A27" s="12" t="s">
        <v>369</v>
      </c>
      <c r="B27" s="25" t="s">
        <v>58</v>
      </c>
      <c r="C27" s="23" t="s">
        <v>629</v>
      </c>
      <c r="D27" s="24">
        <v>22.0</v>
      </c>
      <c r="E27" s="8"/>
      <c r="F27" s="16" t="s">
        <v>385</v>
      </c>
      <c r="G27" s="20">
        <v>57.0</v>
      </c>
      <c r="H27" s="142" t="s">
        <v>450</v>
      </c>
      <c r="J27" s="73">
        <v>4.0</v>
      </c>
      <c r="K27" s="73" t="s">
        <v>46</v>
      </c>
      <c r="L27" s="108" t="s">
        <v>28</v>
      </c>
      <c r="M27" s="8">
        <v>79.7</v>
      </c>
    </row>
    <row r="28">
      <c r="A28" s="12" t="s">
        <v>69</v>
      </c>
      <c r="B28" s="25" t="s">
        <v>176</v>
      </c>
      <c r="C28" s="23" t="s">
        <v>794</v>
      </c>
      <c r="D28" s="24">
        <v>17.0</v>
      </c>
      <c r="E28" s="8"/>
      <c r="F28" s="34" t="s">
        <v>73</v>
      </c>
      <c r="G28" s="78">
        <f>sum(G11:G27)</f>
        <v>797</v>
      </c>
      <c r="H28" s="8"/>
      <c r="I28" s="8"/>
      <c r="J28" s="66" t="s">
        <v>173</v>
      </c>
      <c r="K28" s="66" t="s">
        <v>984</v>
      </c>
      <c r="L28" s="108" t="s">
        <v>400</v>
      </c>
      <c r="M28" s="8">
        <v>13.28</v>
      </c>
    </row>
    <row r="29">
      <c r="A29" s="12" t="s">
        <v>273</v>
      </c>
      <c r="B29" s="25" t="s">
        <v>176</v>
      </c>
      <c r="C29" s="23" t="s">
        <v>630</v>
      </c>
      <c r="D29" s="24">
        <v>16.0</v>
      </c>
      <c r="E29" s="8"/>
      <c r="F29" s="16"/>
      <c r="G29" s="20"/>
      <c r="H29" s="8"/>
      <c r="I29" s="8"/>
      <c r="J29" s="73" t="s">
        <v>173</v>
      </c>
      <c r="K29" s="73" t="s">
        <v>489</v>
      </c>
      <c r="L29" s="108" t="s">
        <v>400</v>
      </c>
      <c r="M29" s="8">
        <v>13.28</v>
      </c>
    </row>
    <row r="30">
      <c r="A30" s="12" t="s">
        <v>418</v>
      </c>
      <c r="B30" s="25" t="s">
        <v>72</v>
      </c>
      <c r="C30" s="23" t="s">
        <v>982</v>
      </c>
      <c r="D30" s="24">
        <v>17.0</v>
      </c>
      <c r="E30" s="8"/>
      <c r="F30" s="16"/>
      <c r="G30" s="20"/>
      <c r="H30" s="8"/>
      <c r="I30" s="8"/>
      <c r="J30" s="66" t="s">
        <v>173</v>
      </c>
      <c r="K30" s="66" t="s">
        <v>33</v>
      </c>
      <c r="L30" s="108" t="s">
        <v>608</v>
      </c>
      <c r="M30" s="8">
        <v>13.28</v>
      </c>
    </row>
    <row r="31">
      <c r="A31" s="12" t="s">
        <v>465</v>
      </c>
      <c r="B31" s="25" t="s">
        <v>72</v>
      </c>
      <c r="C31" s="23" t="s">
        <v>773</v>
      </c>
      <c r="D31" s="24">
        <v>16.0</v>
      </c>
      <c r="E31" s="8"/>
      <c r="F31" s="16"/>
      <c r="G31" s="20"/>
      <c r="H31" s="8"/>
      <c r="I31" s="8"/>
      <c r="J31" s="8"/>
      <c r="K31" s="8"/>
      <c r="L31" s="8"/>
    </row>
    <row r="32">
      <c r="A32" s="12" t="s">
        <v>283</v>
      </c>
      <c r="B32" s="25" t="s">
        <v>72</v>
      </c>
      <c r="C32" s="23" t="s">
        <v>627</v>
      </c>
      <c r="D32" s="24">
        <v>8.0</v>
      </c>
      <c r="E32" s="8"/>
      <c r="F32" s="16"/>
      <c r="G32" s="20"/>
      <c r="H32" s="8"/>
      <c r="I32" s="8"/>
      <c r="J32" s="8"/>
      <c r="K32" s="8"/>
      <c r="L32" s="8"/>
    </row>
    <row r="33">
      <c r="A33" s="12" t="s">
        <v>267</v>
      </c>
      <c r="B33" s="25" t="s">
        <v>72</v>
      </c>
      <c r="C33" s="23" t="s">
        <v>630</v>
      </c>
      <c r="D33" s="24">
        <v>9.0</v>
      </c>
      <c r="E33" s="8"/>
      <c r="F33" s="16"/>
      <c r="G33" s="20"/>
      <c r="H33" s="8"/>
      <c r="I33" s="16"/>
      <c r="J33" s="20"/>
      <c r="K33" s="8"/>
      <c r="L33" s="8"/>
    </row>
    <row r="34">
      <c r="A34" s="12" t="s">
        <v>309</v>
      </c>
      <c r="B34" s="25" t="s">
        <v>72</v>
      </c>
      <c r="C34" s="23" t="s">
        <v>773</v>
      </c>
      <c r="D34" s="24">
        <v>10.0</v>
      </c>
      <c r="E34" s="8"/>
      <c r="F34" s="16"/>
      <c r="G34" s="20"/>
      <c r="H34" s="8"/>
      <c r="I34" s="8"/>
      <c r="J34" s="8"/>
      <c r="K34" s="8"/>
      <c r="L34" s="8"/>
    </row>
    <row r="35">
      <c r="A35" s="12" t="s">
        <v>356</v>
      </c>
      <c r="B35" s="25" t="s">
        <v>75</v>
      </c>
      <c r="C35" s="23" t="s">
        <v>768</v>
      </c>
      <c r="D35" s="24">
        <v>10.0</v>
      </c>
      <c r="E35" s="8"/>
      <c r="F35" s="16"/>
      <c r="G35" s="20"/>
      <c r="H35" s="8"/>
      <c r="I35" s="8"/>
      <c r="J35" s="8"/>
      <c r="K35" s="8"/>
      <c r="L35" s="8"/>
    </row>
    <row r="36">
      <c r="A36" s="12" t="s">
        <v>117</v>
      </c>
      <c r="B36" s="25" t="s">
        <v>79</v>
      </c>
      <c r="C36" s="23" t="s">
        <v>627</v>
      </c>
      <c r="D36" s="24">
        <v>5.0</v>
      </c>
      <c r="E36" s="8"/>
      <c r="F36" s="16"/>
      <c r="G36" s="20"/>
      <c r="H36" s="8"/>
      <c r="I36" s="8"/>
      <c r="J36" s="8"/>
      <c r="K36" s="8"/>
      <c r="L36" s="8"/>
    </row>
    <row r="37">
      <c r="A37" s="12" t="s">
        <v>148</v>
      </c>
      <c r="B37" s="25" t="s">
        <v>79</v>
      </c>
      <c r="C37" s="23" t="s">
        <v>982</v>
      </c>
      <c r="D37" s="24">
        <v>9.0</v>
      </c>
      <c r="E37" s="8"/>
      <c r="F37" s="8"/>
      <c r="G37" s="8"/>
      <c r="H37" s="8"/>
      <c r="I37" s="8"/>
      <c r="J37" s="8"/>
      <c r="K37" s="8"/>
      <c r="L37" s="8"/>
    </row>
    <row r="38">
      <c r="A38" s="12" t="s">
        <v>102</v>
      </c>
      <c r="B38" s="25" t="s">
        <v>79</v>
      </c>
      <c r="C38" s="23" t="s">
        <v>627</v>
      </c>
      <c r="D38" s="24">
        <v>6.0</v>
      </c>
      <c r="E38" s="8"/>
      <c r="F38" s="38" t="s">
        <v>392</v>
      </c>
      <c r="G38" s="38" t="s">
        <v>53</v>
      </c>
      <c r="H38" s="38" t="s">
        <v>631</v>
      </c>
      <c r="I38" s="114" t="s">
        <v>59</v>
      </c>
      <c r="J38" s="8"/>
      <c r="K38" s="8"/>
      <c r="L38" s="8"/>
    </row>
    <row r="39">
      <c r="A39" s="12" t="s">
        <v>189</v>
      </c>
      <c r="B39" s="25" t="s">
        <v>81</v>
      </c>
      <c r="C39" s="23" t="s">
        <v>777</v>
      </c>
      <c r="D39" s="24">
        <v>8.0</v>
      </c>
      <c r="E39" s="8"/>
      <c r="F39" s="115" t="s">
        <v>52</v>
      </c>
      <c r="G39" s="115" t="s">
        <v>373</v>
      </c>
      <c r="H39" s="115" t="s">
        <v>985</v>
      </c>
      <c r="I39" s="115" t="s">
        <v>985</v>
      </c>
      <c r="J39" s="8"/>
      <c r="K39" s="8"/>
      <c r="L39" s="8"/>
    </row>
    <row r="40">
      <c r="A40" s="12" t="s">
        <v>986</v>
      </c>
      <c r="B40" s="25" t="s">
        <v>81</v>
      </c>
      <c r="C40" s="23" t="s">
        <v>773</v>
      </c>
      <c r="D40" s="24">
        <v>6.0</v>
      </c>
      <c r="E40" s="8"/>
      <c r="F40" s="115" t="s">
        <v>987</v>
      </c>
      <c r="G40" s="60"/>
      <c r="H40" s="115" t="s">
        <v>27</v>
      </c>
      <c r="I40" s="115" t="s">
        <v>988</v>
      </c>
      <c r="J40" s="8"/>
      <c r="K40" s="8"/>
      <c r="L40" s="8"/>
    </row>
    <row r="41">
      <c r="A41" s="12" t="s">
        <v>476</v>
      </c>
      <c r="B41" s="25" t="s">
        <v>81</v>
      </c>
      <c r="C41" s="23" t="s">
        <v>982</v>
      </c>
      <c r="D41" s="24">
        <v>6.0</v>
      </c>
      <c r="E41" s="8"/>
      <c r="F41" s="115" t="s">
        <v>117</v>
      </c>
      <c r="G41" s="60"/>
      <c r="H41" s="115" t="s">
        <v>189</v>
      </c>
      <c r="I41" s="115" t="s">
        <v>69</v>
      </c>
      <c r="J41" s="8"/>
      <c r="K41" s="8"/>
      <c r="L41" s="8"/>
    </row>
    <row r="42">
      <c r="A42" s="12" t="s">
        <v>316</v>
      </c>
      <c r="B42" s="25" t="s">
        <v>81</v>
      </c>
      <c r="C42" s="23" t="s">
        <v>989</v>
      </c>
      <c r="D42" s="24">
        <v>5.0</v>
      </c>
      <c r="E42" s="8"/>
      <c r="F42" s="115" t="s">
        <v>102</v>
      </c>
      <c r="G42" s="60"/>
      <c r="H42" s="115" t="s">
        <v>428</v>
      </c>
      <c r="I42" s="60"/>
      <c r="J42" s="8"/>
      <c r="K42" s="8"/>
      <c r="L42" s="8"/>
    </row>
    <row r="43">
      <c r="A43" s="12" t="s">
        <v>428</v>
      </c>
      <c r="B43" s="25" t="s">
        <v>81</v>
      </c>
      <c r="C43" s="23" t="s">
        <v>777</v>
      </c>
      <c r="D43" s="24">
        <v>6.0</v>
      </c>
      <c r="E43" s="8"/>
      <c r="F43" s="115" t="s">
        <v>74</v>
      </c>
      <c r="G43" s="60"/>
      <c r="H43" s="115" t="s">
        <v>71</v>
      </c>
      <c r="I43" s="60"/>
      <c r="J43" s="8"/>
      <c r="K43" s="8"/>
      <c r="L43" s="8"/>
    </row>
    <row r="44">
      <c r="A44" s="12" t="s">
        <v>990</v>
      </c>
      <c r="B44" s="25" t="s">
        <v>81</v>
      </c>
      <c r="C44" s="23" t="s">
        <v>768</v>
      </c>
      <c r="D44" s="24">
        <v>8.0</v>
      </c>
      <c r="E44" s="8"/>
      <c r="F44" s="115" t="s">
        <v>191</v>
      </c>
      <c r="G44" s="60"/>
      <c r="H44" s="115" t="s">
        <v>87</v>
      </c>
      <c r="I44" s="60"/>
      <c r="J44" s="8"/>
      <c r="K44" s="8"/>
      <c r="L44" s="8"/>
    </row>
    <row r="45">
      <c r="A45" s="12" t="s">
        <v>648</v>
      </c>
      <c r="B45" s="25" t="s">
        <v>181</v>
      </c>
      <c r="C45" s="23" t="s">
        <v>627</v>
      </c>
      <c r="D45" s="24">
        <v>5.0</v>
      </c>
      <c r="E45" s="8"/>
      <c r="F45" s="115" t="s">
        <v>46</v>
      </c>
      <c r="G45" s="60"/>
      <c r="H45" s="115" t="s">
        <v>100</v>
      </c>
      <c r="J45" s="8"/>
      <c r="K45" s="8"/>
      <c r="L45" s="8"/>
    </row>
    <row r="46">
      <c r="A46" s="12" t="s">
        <v>991</v>
      </c>
      <c r="B46" s="25" t="s">
        <v>92</v>
      </c>
      <c r="C46" s="23" t="s">
        <v>630</v>
      </c>
      <c r="D46" s="24">
        <v>5.0</v>
      </c>
      <c r="E46" s="8"/>
      <c r="G46" s="60"/>
      <c r="H46" s="115" t="s">
        <v>312</v>
      </c>
      <c r="I46" s="8"/>
      <c r="J46" s="8"/>
      <c r="K46" s="8"/>
      <c r="L46" s="8"/>
    </row>
    <row r="47">
      <c r="A47" s="12" t="s">
        <v>623</v>
      </c>
      <c r="B47" s="25" t="s">
        <v>311</v>
      </c>
      <c r="C47" s="23" t="s">
        <v>768</v>
      </c>
      <c r="D47" s="24">
        <v>4.0</v>
      </c>
      <c r="E47" s="8"/>
      <c r="F47" s="8"/>
      <c r="G47" s="8"/>
      <c r="H47" s="8"/>
      <c r="I47" s="8"/>
      <c r="J47" s="8"/>
      <c r="K47" s="8"/>
      <c r="L47" s="8"/>
    </row>
    <row r="48">
      <c r="A48" s="12" t="s">
        <v>233</v>
      </c>
      <c r="B48" s="25" t="s">
        <v>311</v>
      </c>
      <c r="C48" s="23" t="s">
        <v>629</v>
      </c>
      <c r="D48" s="24">
        <v>5.0</v>
      </c>
      <c r="E48" s="8"/>
      <c r="F48" s="38" t="s">
        <v>410</v>
      </c>
      <c r="G48" s="38" t="s">
        <v>401</v>
      </c>
      <c r="H48" s="38" t="s">
        <v>404</v>
      </c>
      <c r="I48" s="38" t="s">
        <v>25</v>
      </c>
      <c r="J48" s="8"/>
      <c r="K48" s="8"/>
      <c r="L48" s="8"/>
    </row>
    <row r="49">
      <c r="A49" s="12" t="s">
        <v>643</v>
      </c>
      <c r="B49" s="25" t="s">
        <v>95</v>
      </c>
      <c r="C49" s="23" t="s">
        <v>630</v>
      </c>
      <c r="D49" s="24">
        <v>4.0</v>
      </c>
      <c r="E49" s="8"/>
      <c r="F49" s="115" t="s">
        <v>992</v>
      </c>
      <c r="G49" s="115" t="s">
        <v>992</v>
      </c>
      <c r="H49" s="115" t="s">
        <v>93</v>
      </c>
      <c r="I49" s="115" t="s">
        <v>316</v>
      </c>
      <c r="J49" s="8"/>
      <c r="K49" s="8"/>
      <c r="L49" s="8"/>
    </row>
    <row r="50">
      <c r="A50" s="12" t="s">
        <v>993</v>
      </c>
      <c r="B50" s="25" t="s">
        <v>95</v>
      </c>
      <c r="C50" s="23" t="s">
        <v>768</v>
      </c>
      <c r="D50" s="24">
        <v>4.0</v>
      </c>
      <c r="E50" s="8"/>
      <c r="F50" s="115" t="s">
        <v>131</v>
      </c>
      <c r="G50" s="115" t="s">
        <v>994</v>
      </c>
      <c r="H50" s="60"/>
      <c r="I50" s="60"/>
      <c r="J50" s="8"/>
      <c r="K50" s="8"/>
      <c r="L50" s="8"/>
    </row>
    <row r="51">
      <c r="A51" s="12" t="s">
        <v>640</v>
      </c>
      <c r="B51" s="61" t="s">
        <v>95</v>
      </c>
      <c r="C51" s="23" t="s">
        <v>995</v>
      </c>
      <c r="D51" s="24">
        <v>8.0</v>
      </c>
      <c r="E51" s="8"/>
      <c r="F51" s="115" t="s">
        <v>369</v>
      </c>
      <c r="G51" s="115" t="s">
        <v>356</v>
      </c>
      <c r="H51" s="60"/>
      <c r="I51" s="60"/>
      <c r="J51" s="8"/>
      <c r="K51" s="8"/>
      <c r="L51" s="8"/>
    </row>
    <row r="52">
      <c r="A52" s="12" t="s">
        <v>673</v>
      </c>
      <c r="B52" s="40" t="s">
        <v>95</v>
      </c>
      <c r="C52" s="23" t="s">
        <v>777</v>
      </c>
      <c r="D52" s="24">
        <v>3.0</v>
      </c>
      <c r="E52" s="8"/>
      <c r="F52" s="115" t="s">
        <v>233</v>
      </c>
      <c r="G52" s="115" t="s">
        <v>60</v>
      </c>
      <c r="H52" s="60"/>
      <c r="I52" s="60"/>
      <c r="J52" s="8"/>
      <c r="K52" s="8"/>
      <c r="L52" s="8"/>
    </row>
    <row r="53">
      <c r="A53" s="12" t="s">
        <v>669</v>
      </c>
      <c r="B53" s="40" t="s">
        <v>95</v>
      </c>
      <c r="C53" s="23" t="s">
        <v>777</v>
      </c>
      <c r="D53" s="23">
        <v>2.0</v>
      </c>
      <c r="E53" s="8"/>
      <c r="F53" s="115" t="s">
        <v>244</v>
      </c>
      <c r="G53" s="115" t="s">
        <v>277</v>
      </c>
      <c r="H53" s="60"/>
      <c r="I53" s="60"/>
      <c r="J53" s="8"/>
      <c r="K53" s="8"/>
      <c r="L53" s="8"/>
    </row>
    <row r="54">
      <c r="A54" s="12" t="s">
        <v>642</v>
      </c>
      <c r="B54" s="40" t="s">
        <v>108</v>
      </c>
      <c r="C54" s="23" t="s">
        <v>768</v>
      </c>
      <c r="D54" s="23">
        <v>2.0</v>
      </c>
      <c r="E54" s="8"/>
      <c r="F54" s="115" t="s">
        <v>463</v>
      </c>
      <c r="G54" s="115" t="s">
        <v>996</v>
      </c>
      <c r="H54" s="8"/>
      <c r="I54" s="8"/>
      <c r="J54" s="8"/>
      <c r="K54" s="8"/>
      <c r="L54" s="8"/>
    </row>
    <row r="55">
      <c r="A55" s="12" t="s">
        <v>668</v>
      </c>
      <c r="B55" s="40" t="s">
        <v>108</v>
      </c>
      <c r="C55" s="23" t="s">
        <v>627</v>
      </c>
      <c r="D55" s="23">
        <v>3.0</v>
      </c>
      <c r="E55" s="8"/>
      <c r="F55" s="115" t="s">
        <v>76</v>
      </c>
      <c r="G55" s="115" t="s">
        <v>241</v>
      </c>
      <c r="H55" s="8"/>
      <c r="I55" s="8"/>
      <c r="J55" s="8"/>
      <c r="K55" s="8"/>
      <c r="L55" s="8"/>
    </row>
    <row r="56">
      <c r="A56" s="12" t="s">
        <v>660</v>
      </c>
      <c r="B56" s="40" t="s">
        <v>108</v>
      </c>
      <c r="C56" s="62" t="s">
        <v>629</v>
      </c>
      <c r="D56" s="23">
        <v>5.0</v>
      </c>
      <c r="E56" s="8"/>
      <c r="F56" s="60"/>
      <c r="G56" s="115" t="s">
        <v>483</v>
      </c>
      <c r="H56" s="8"/>
      <c r="I56" s="8"/>
      <c r="J56" s="8"/>
      <c r="K56" s="8"/>
      <c r="L56" s="8"/>
    </row>
    <row r="57">
      <c r="A57" s="12" t="s">
        <v>997</v>
      </c>
      <c r="B57" s="40" t="s">
        <v>108</v>
      </c>
      <c r="C57" s="62" t="s">
        <v>998</v>
      </c>
      <c r="D57" s="23">
        <v>2.0</v>
      </c>
      <c r="E57" s="8"/>
      <c r="F57" s="60"/>
      <c r="G57" s="115" t="s">
        <v>103</v>
      </c>
      <c r="H57" s="8"/>
      <c r="I57" s="8"/>
      <c r="J57" s="8"/>
      <c r="K57" s="8"/>
      <c r="L57" s="8"/>
    </row>
    <row r="58">
      <c r="A58" s="12" t="s">
        <v>999</v>
      </c>
      <c r="B58" s="40" t="s">
        <v>108</v>
      </c>
      <c r="C58" s="62" t="s">
        <v>630</v>
      </c>
      <c r="D58" s="23">
        <v>3.0</v>
      </c>
      <c r="E58" s="8"/>
      <c r="F58" s="60"/>
      <c r="G58" s="60"/>
      <c r="H58" s="60"/>
      <c r="I58" s="60"/>
      <c r="J58" s="8"/>
      <c r="K58" s="8"/>
      <c r="L58" s="8"/>
    </row>
    <row r="59">
      <c r="A59" s="12" t="s">
        <v>1000</v>
      </c>
      <c r="B59" s="40" t="s">
        <v>108</v>
      </c>
      <c r="C59" s="62" t="s">
        <v>865</v>
      </c>
      <c r="D59" s="23">
        <v>3.0</v>
      </c>
      <c r="E59" s="8"/>
      <c r="F59" s="38" t="s">
        <v>402</v>
      </c>
      <c r="G59" s="38" t="s">
        <v>394</v>
      </c>
      <c r="H59" s="38" t="s">
        <v>400</v>
      </c>
      <c r="I59" s="38" t="s">
        <v>385</v>
      </c>
      <c r="J59" s="8"/>
      <c r="K59" s="8"/>
      <c r="L59" s="8"/>
    </row>
    <row r="60">
      <c r="A60" s="12" t="s">
        <v>1001</v>
      </c>
      <c r="B60" s="40" t="s">
        <v>108</v>
      </c>
      <c r="C60" s="39" t="s">
        <v>629</v>
      </c>
      <c r="D60" s="23">
        <v>5.0</v>
      </c>
      <c r="E60" s="8"/>
      <c r="F60" s="115" t="s">
        <v>985</v>
      </c>
      <c r="G60" s="115" t="s">
        <v>310</v>
      </c>
      <c r="H60" s="115" t="s">
        <v>237</v>
      </c>
      <c r="I60" s="115" t="s">
        <v>80</v>
      </c>
      <c r="J60" s="8"/>
      <c r="K60" s="8"/>
      <c r="L60" s="8"/>
    </row>
    <row r="61">
      <c r="A61" s="12" t="s">
        <v>1002</v>
      </c>
      <c r="B61" s="40" t="s">
        <v>108</v>
      </c>
      <c r="C61" s="39" t="s">
        <v>629</v>
      </c>
      <c r="D61" s="23">
        <v>3.0</v>
      </c>
      <c r="E61" s="8"/>
      <c r="F61" s="115" t="s">
        <v>988</v>
      </c>
      <c r="G61" s="115" t="s">
        <v>147</v>
      </c>
      <c r="H61" s="115" t="s">
        <v>273</v>
      </c>
      <c r="I61" s="115" t="s">
        <v>418</v>
      </c>
      <c r="J61" s="8"/>
      <c r="K61" s="8"/>
      <c r="L61" s="8"/>
    </row>
    <row r="62">
      <c r="A62" s="12" t="s">
        <v>655</v>
      </c>
      <c r="B62" s="40" t="s">
        <v>108</v>
      </c>
      <c r="C62" s="39" t="s">
        <v>768</v>
      </c>
      <c r="D62" s="23">
        <v>4.0</v>
      </c>
      <c r="E62" s="8"/>
      <c r="F62" s="115" t="s">
        <v>82</v>
      </c>
      <c r="G62" s="8"/>
      <c r="H62" s="115" t="s">
        <v>267</v>
      </c>
      <c r="I62" s="115" t="s">
        <v>148</v>
      </c>
      <c r="J62" s="8"/>
      <c r="K62" s="8"/>
      <c r="L62" s="8"/>
    </row>
    <row r="63">
      <c r="A63" s="12" t="s">
        <v>1003</v>
      </c>
      <c r="B63" s="40" t="s">
        <v>108</v>
      </c>
      <c r="C63" s="62" t="s">
        <v>627</v>
      </c>
      <c r="D63" s="23">
        <v>4.0</v>
      </c>
      <c r="E63" s="8"/>
      <c r="F63" s="115" t="s">
        <v>465</v>
      </c>
      <c r="G63" s="8"/>
      <c r="H63" s="115" t="s">
        <v>415</v>
      </c>
      <c r="I63" s="115" t="s">
        <v>476</v>
      </c>
      <c r="J63" s="8"/>
      <c r="K63" s="8"/>
      <c r="L63" s="8"/>
    </row>
    <row r="64">
      <c r="A64" s="12" t="s">
        <v>641</v>
      </c>
      <c r="B64" s="40" t="s">
        <v>108</v>
      </c>
      <c r="C64" s="39" t="s">
        <v>777</v>
      </c>
      <c r="D64" s="23">
        <v>3.0</v>
      </c>
      <c r="E64" s="8"/>
      <c r="F64" s="115" t="s">
        <v>309</v>
      </c>
      <c r="G64" s="8"/>
      <c r="H64" s="115" t="s">
        <v>489</v>
      </c>
      <c r="I64" s="8"/>
      <c r="J64" s="8"/>
      <c r="K64" s="8"/>
      <c r="L64" s="8"/>
    </row>
    <row r="65">
      <c r="A65" s="82" t="s">
        <v>1004</v>
      </c>
      <c r="B65" s="40" t="s">
        <v>108</v>
      </c>
      <c r="C65" s="82" t="s">
        <v>865</v>
      </c>
      <c r="D65" s="23">
        <v>4.0</v>
      </c>
      <c r="E65" s="8"/>
      <c r="F65" s="115" t="s">
        <v>144</v>
      </c>
      <c r="G65" s="8"/>
      <c r="H65" s="115" t="s">
        <v>193</v>
      </c>
      <c r="I65" s="8"/>
      <c r="J65" s="8"/>
      <c r="K65" s="8"/>
      <c r="L65" s="8"/>
    </row>
    <row r="66">
      <c r="A66" s="119" t="s">
        <v>103</v>
      </c>
      <c r="B66" s="117" t="s">
        <v>187</v>
      </c>
      <c r="C66" s="119" t="s">
        <v>768</v>
      </c>
      <c r="D66" s="65">
        <v>85.0</v>
      </c>
      <c r="E66" s="8"/>
      <c r="F66" s="8"/>
      <c r="G66" s="8"/>
      <c r="H66" s="8"/>
      <c r="I66" s="8"/>
      <c r="J66" s="8"/>
      <c r="K66" s="8"/>
      <c r="L66" s="8"/>
    </row>
    <row r="67">
      <c r="A67" s="12"/>
      <c r="B67" s="46"/>
      <c r="C67" s="12"/>
      <c r="D67" s="88">
        <f>sum(D14:D66)</f>
        <v>797</v>
      </c>
      <c r="E67" s="8"/>
      <c r="F67" s="8"/>
      <c r="G67" s="8"/>
      <c r="H67" s="8"/>
      <c r="I67" s="8"/>
      <c r="J67" s="8"/>
      <c r="K67" s="8"/>
      <c r="L67" s="8"/>
    </row>
    <row r="68">
      <c r="A68" s="12"/>
      <c r="B68" s="46"/>
      <c r="C68" s="89"/>
      <c r="D68" s="90" t="str">
        <f>if(G28-D67=0,"No","Yes")</f>
        <v>Yes</v>
      </c>
      <c r="E68" s="8"/>
      <c r="F68" s="8"/>
      <c r="G68" s="8"/>
      <c r="H68" s="8"/>
      <c r="I68" s="8"/>
      <c r="J68" s="8"/>
      <c r="K68" s="8"/>
      <c r="L68" s="8"/>
    </row>
    <row r="69">
      <c r="A69" s="12"/>
      <c r="B69" s="46"/>
      <c r="C69" s="12"/>
      <c r="E69" s="8"/>
      <c r="F69" s="8"/>
      <c r="G69" s="8"/>
      <c r="H69" s="8"/>
      <c r="I69" s="8"/>
      <c r="J69" s="8"/>
      <c r="K69" s="8"/>
      <c r="L69" s="8"/>
    </row>
    <row r="70">
      <c r="A70" s="143" t="s">
        <v>103</v>
      </c>
      <c r="B70" s="140"/>
      <c r="C70" s="143"/>
      <c r="D70" s="144"/>
      <c r="E70" s="8"/>
      <c r="F70" s="8"/>
      <c r="G70" s="8"/>
      <c r="H70" s="8"/>
      <c r="I70" s="8"/>
      <c r="J70" s="8"/>
      <c r="K70" s="8"/>
      <c r="L70" s="8"/>
    </row>
    <row r="71">
      <c r="A71" s="12" t="s">
        <v>1005</v>
      </c>
      <c r="B71" s="46" t="s">
        <v>768</v>
      </c>
      <c r="C71" s="12"/>
      <c r="E71" s="8"/>
      <c r="F71" s="8"/>
      <c r="G71" s="8"/>
      <c r="H71" s="8"/>
      <c r="I71" s="8"/>
      <c r="J71" s="8"/>
      <c r="K71" s="8"/>
      <c r="L71" s="8"/>
    </row>
    <row r="72">
      <c r="A72" s="12" t="s">
        <v>555</v>
      </c>
      <c r="B72" s="46" t="s">
        <v>768</v>
      </c>
      <c r="C72" s="12"/>
      <c r="E72" s="8"/>
      <c r="F72" s="8"/>
      <c r="G72" s="8"/>
      <c r="H72" s="8"/>
      <c r="I72" s="8"/>
      <c r="J72" s="8"/>
      <c r="K72" s="8"/>
      <c r="L72" s="8"/>
    </row>
    <row r="73">
      <c r="A73" s="12" t="s">
        <v>1006</v>
      </c>
      <c r="B73" s="46" t="s">
        <v>768</v>
      </c>
      <c r="C73" s="12"/>
      <c r="E73" s="8"/>
      <c r="F73" s="8"/>
      <c r="G73" s="8"/>
      <c r="H73" s="8"/>
      <c r="I73" s="8"/>
      <c r="J73" s="8"/>
      <c r="K73" s="8"/>
      <c r="L73" s="8"/>
    </row>
    <row r="74">
      <c r="A74" s="12" t="s">
        <v>1007</v>
      </c>
      <c r="B74" s="46" t="s">
        <v>768</v>
      </c>
      <c r="C74" s="12"/>
      <c r="E74" s="8"/>
      <c r="F74" s="8"/>
      <c r="G74" s="8"/>
      <c r="H74" s="8"/>
      <c r="I74" s="8"/>
      <c r="J74" s="8"/>
      <c r="K74" s="8"/>
      <c r="L74" s="8"/>
    </row>
    <row r="75">
      <c r="A75" s="12" t="s">
        <v>1008</v>
      </c>
      <c r="B75" s="46" t="s">
        <v>768</v>
      </c>
      <c r="C75" s="12"/>
      <c r="E75" s="8"/>
      <c r="F75" s="8"/>
      <c r="G75" s="8"/>
      <c r="H75" s="8"/>
      <c r="I75" s="8"/>
      <c r="J75" s="8"/>
      <c r="K75" s="8"/>
      <c r="L75" s="8"/>
    </row>
    <row r="76">
      <c r="A76" s="12" t="s">
        <v>1009</v>
      </c>
      <c r="B76" s="46" t="s">
        <v>768</v>
      </c>
      <c r="C76" s="12"/>
      <c r="E76" s="8"/>
      <c r="F76" s="8"/>
      <c r="G76" s="8"/>
      <c r="H76" s="8"/>
      <c r="I76" s="8"/>
      <c r="J76" s="8"/>
      <c r="K76" s="8"/>
      <c r="L76" s="8"/>
    </row>
    <row r="77">
      <c r="A77" s="12" t="s">
        <v>1010</v>
      </c>
      <c r="B77" s="46" t="s">
        <v>768</v>
      </c>
      <c r="C77" s="12"/>
      <c r="E77" s="8"/>
      <c r="F77" s="8"/>
      <c r="G77" s="8"/>
      <c r="H77" s="8"/>
      <c r="I77" s="8"/>
      <c r="J77" s="8"/>
      <c r="K77" s="8"/>
      <c r="L77" s="8"/>
    </row>
    <row r="78">
      <c r="A78" s="12" t="s">
        <v>1011</v>
      </c>
      <c r="B78" s="46" t="s">
        <v>768</v>
      </c>
      <c r="C78" s="12"/>
      <c r="E78" s="8"/>
      <c r="F78" s="8"/>
      <c r="G78" s="8"/>
      <c r="H78" s="8"/>
      <c r="I78" s="8"/>
      <c r="J78" s="8"/>
      <c r="K78" s="8"/>
      <c r="L78" s="8"/>
    </row>
    <row r="79">
      <c r="A79" s="12" t="s">
        <v>1012</v>
      </c>
      <c r="B79" s="46" t="s">
        <v>768</v>
      </c>
      <c r="C79" s="12"/>
      <c r="E79" s="8"/>
      <c r="F79" s="8"/>
      <c r="G79" s="8"/>
      <c r="H79" s="8"/>
      <c r="I79" s="8"/>
      <c r="J79" s="8"/>
      <c r="K79" s="8"/>
      <c r="L79" s="8"/>
    </row>
    <row r="80">
      <c r="A80" s="12" t="s">
        <v>1013</v>
      </c>
      <c r="B80" s="46" t="s">
        <v>768</v>
      </c>
      <c r="C80" s="12"/>
      <c r="E80" s="8"/>
      <c r="F80" s="8"/>
      <c r="G80" s="8"/>
      <c r="H80" s="8"/>
      <c r="I80" s="8"/>
      <c r="J80" s="8"/>
      <c r="K80" s="8"/>
      <c r="L80" s="8"/>
    </row>
    <row r="81">
      <c r="A81" s="12" t="s">
        <v>1014</v>
      </c>
      <c r="B81" s="46" t="s">
        <v>768</v>
      </c>
      <c r="C81" s="12"/>
      <c r="E81" s="8"/>
      <c r="F81" s="8"/>
      <c r="G81" s="8"/>
      <c r="H81" s="8"/>
      <c r="I81" s="8"/>
      <c r="J81" s="8"/>
      <c r="K81" s="8"/>
      <c r="L81" s="8"/>
    </row>
    <row r="82">
      <c r="A82" s="12" t="s">
        <v>1015</v>
      </c>
      <c r="B82" s="46" t="s">
        <v>768</v>
      </c>
      <c r="C82" s="12"/>
      <c r="E82" s="8"/>
      <c r="F82" s="8"/>
      <c r="G82" s="8"/>
      <c r="H82" s="8"/>
      <c r="I82" s="8"/>
      <c r="J82" s="8"/>
      <c r="K82" s="8"/>
      <c r="L82" s="8"/>
    </row>
    <row r="83">
      <c r="A83" s="12" t="s">
        <v>1016</v>
      </c>
      <c r="B83" s="46" t="s">
        <v>768</v>
      </c>
      <c r="C83" s="12"/>
      <c r="E83" s="8"/>
      <c r="F83" s="8"/>
      <c r="G83" s="8"/>
      <c r="H83" s="8"/>
      <c r="I83" s="8"/>
      <c r="J83" s="8"/>
      <c r="K83" s="8"/>
      <c r="L83" s="8"/>
    </row>
    <row r="84">
      <c r="A84" s="12" t="s">
        <v>568</v>
      </c>
      <c r="B84" s="46" t="s">
        <v>768</v>
      </c>
      <c r="C84" s="12"/>
      <c r="E84" s="8"/>
      <c r="F84" s="8"/>
      <c r="G84" s="8"/>
      <c r="H84" s="8"/>
      <c r="I84" s="8"/>
      <c r="J84" s="8"/>
      <c r="K84" s="8"/>
      <c r="L84" s="8"/>
    </row>
    <row r="85">
      <c r="A85" s="12" t="s">
        <v>1017</v>
      </c>
      <c r="B85" s="46" t="s">
        <v>768</v>
      </c>
      <c r="C85" s="12"/>
      <c r="E85" s="8"/>
      <c r="F85" s="8"/>
      <c r="G85" s="8"/>
      <c r="H85" s="8"/>
      <c r="I85" s="8"/>
      <c r="J85" s="8"/>
      <c r="K85" s="8"/>
      <c r="L85" s="8"/>
    </row>
    <row r="86">
      <c r="A86" s="12" t="s">
        <v>1018</v>
      </c>
      <c r="B86" s="46" t="s">
        <v>768</v>
      </c>
      <c r="C86" s="12"/>
      <c r="E86" s="8"/>
      <c r="F86" s="8"/>
      <c r="G86" s="8"/>
      <c r="H86" s="8"/>
      <c r="I86" s="8"/>
      <c r="J86" s="8"/>
      <c r="K86" s="8"/>
      <c r="L86" s="8"/>
    </row>
    <row r="87">
      <c r="A87" s="12" t="s">
        <v>1019</v>
      </c>
      <c r="B87" s="46" t="s">
        <v>768</v>
      </c>
      <c r="C87" s="12"/>
      <c r="E87" s="8"/>
      <c r="F87" s="8"/>
      <c r="G87" s="8"/>
      <c r="H87" s="8"/>
      <c r="I87" s="8"/>
      <c r="J87" s="8"/>
      <c r="K87" s="8"/>
      <c r="L87" s="8"/>
    </row>
    <row r="88">
      <c r="A88" s="12" t="s">
        <v>1020</v>
      </c>
      <c r="B88" s="46" t="s">
        <v>768</v>
      </c>
      <c r="C88" s="12"/>
      <c r="E88" s="8"/>
      <c r="F88" s="8"/>
      <c r="G88" s="8"/>
      <c r="H88" s="8"/>
      <c r="I88" s="8"/>
      <c r="J88" s="8"/>
      <c r="K88" s="8"/>
      <c r="L88" s="8"/>
    </row>
    <row r="89">
      <c r="A89" s="12" t="s">
        <v>1021</v>
      </c>
      <c r="B89" s="46" t="s">
        <v>768</v>
      </c>
      <c r="C89" s="12"/>
      <c r="E89" s="8"/>
      <c r="F89" s="8"/>
      <c r="G89" s="8"/>
      <c r="H89" s="8"/>
      <c r="I89" s="8"/>
      <c r="J89" s="8"/>
      <c r="K89" s="8"/>
      <c r="L89" s="8"/>
    </row>
    <row r="90">
      <c r="A90" s="12" t="s">
        <v>1022</v>
      </c>
      <c r="B90" s="46" t="s">
        <v>768</v>
      </c>
      <c r="C90" s="12"/>
      <c r="E90" s="8"/>
      <c r="F90" s="8"/>
      <c r="G90" s="8"/>
      <c r="H90" s="8"/>
      <c r="I90" s="8"/>
      <c r="J90" s="8"/>
      <c r="K90" s="8"/>
      <c r="L90" s="8"/>
    </row>
    <row r="91">
      <c r="A91" s="12" t="s">
        <v>1023</v>
      </c>
      <c r="B91" s="46" t="s">
        <v>768</v>
      </c>
      <c r="C91" s="12"/>
      <c r="E91" s="8"/>
      <c r="F91" s="8"/>
      <c r="G91" s="8"/>
      <c r="H91" s="8"/>
      <c r="I91" s="8"/>
      <c r="J91" s="8"/>
      <c r="K91" s="8"/>
      <c r="L91" s="8"/>
    </row>
    <row r="92">
      <c r="A92" s="12" t="s">
        <v>1024</v>
      </c>
      <c r="B92" s="46" t="s">
        <v>768</v>
      </c>
      <c r="C92" s="12"/>
      <c r="E92" s="8"/>
      <c r="F92" s="8"/>
      <c r="G92" s="8"/>
      <c r="H92" s="8"/>
      <c r="I92" s="8"/>
      <c r="J92" s="8"/>
      <c r="K92" s="8"/>
      <c r="L92" s="8"/>
    </row>
    <row r="93">
      <c r="A93" s="12" t="s">
        <v>1025</v>
      </c>
      <c r="B93" s="46" t="s">
        <v>768</v>
      </c>
      <c r="C93" s="12"/>
      <c r="E93" s="8"/>
      <c r="F93" s="8"/>
      <c r="G93" s="8"/>
      <c r="H93" s="8"/>
      <c r="I93" s="8"/>
      <c r="J93" s="8"/>
      <c r="K93" s="8"/>
      <c r="L93" s="8"/>
    </row>
    <row r="94">
      <c r="A94" s="12" t="s">
        <v>1026</v>
      </c>
      <c r="B94" s="46" t="s">
        <v>768</v>
      </c>
      <c r="C94" s="12"/>
      <c r="E94" s="8"/>
      <c r="F94" s="8"/>
      <c r="G94" s="8"/>
      <c r="H94" s="8"/>
      <c r="I94" s="8"/>
      <c r="J94" s="8"/>
      <c r="K94" s="8"/>
      <c r="L94" s="8"/>
    </row>
    <row r="95">
      <c r="A95" s="12" t="s">
        <v>1027</v>
      </c>
      <c r="B95" s="46" t="s">
        <v>768</v>
      </c>
      <c r="C95" s="12"/>
      <c r="E95" s="8"/>
      <c r="F95" s="8"/>
      <c r="G95" s="8"/>
      <c r="H95" s="8"/>
      <c r="I95" s="8"/>
      <c r="J95" s="8"/>
      <c r="K95" s="8"/>
      <c r="L95" s="8"/>
    </row>
    <row r="96">
      <c r="A96" s="12" t="s">
        <v>1028</v>
      </c>
      <c r="B96" s="46" t="s">
        <v>768</v>
      </c>
      <c r="C96" s="12"/>
      <c r="E96" s="8"/>
      <c r="F96" s="8"/>
      <c r="G96" s="8"/>
      <c r="H96" s="8"/>
      <c r="I96" s="8"/>
      <c r="J96" s="8"/>
      <c r="K96" s="8"/>
      <c r="L96" s="8"/>
    </row>
    <row r="97">
      <c r="A97" s="12" t="s">
        <v>1029</v>
      </c>
      <c r="B97" s="46" t="s">
        <v>768</v>
      </c>
      <c r="C97" s="12"/>
      <c r="E97" s="8"/>
      <c r="F97" s="8"/>
      <c r="G97" s="8"/>
      <c r="H97" s="8"/>
      <c r="I97" s="8"/>
      <c r="J97" s="8"/>
      <c r="K97" s="8"/>
      <c r="L97" s="8"/>
    </row>
    <row r="98">
      <c r="A98" s="12" t="s">
        <v>1030</v>
      </c>
      <c r="B98" s="46" t="s">
        <v>768</v>
      </c>
      <c r="C98" s="12"/>
      <c r="E98" s="8"/>
      <c r="F98" s="8"/>
      <c r="G98" s="8"/>
      <c r="H98" s="8"/>
      <c r="I98" s="8"/>
      <c r="J98" s="8"/>
      <c r="K98" s="8"/>
      <c r="L98" s="8"/>
    </row>
    <row r="99">
      <c r="A99" s="12" t="s">
        <v>1031</v>
      </c>
      <c r="B99" s="46" t="s">
        <v>768</v>
      </c>
      <c r="C99" s="12"/>
      <c r="E99" s="8"/>
      <c r="F99" s="8"/>
      <c r="G99" s="8"/>
      <c r="H99" s="8"/>
      <c r="I99" s="8"/>
      <c r="J99" s="8"/>
      <c r="K99" s="8"/>
      <c r="L99" s="8"/>
    </row>
    <row r="100">
      <c r="A100" s="12" t="s">
        <v>910</v>
      </c>
      <c r="B100" s="46" t="s">
        <v>768</v>
      </c>
      <c r="C100" s="12"/>
      <c r="E100" s="8"/>
      <c r="F100" s="8"/>
      <c r="G100" s="8"/>
      <c r="H100" s="8"/>
      <c r="I100" s="8"/>
      <c r="J100" s="8"/>
      <c r="K100" s="8"/>
      <c r="L100" s="8"/>
    </row>
    <row r="101">
      <c r="A101" s="12" t="s">
        <v>1032</v>
      </c>
      <c r="B101" s="46" t="s">
        <v>768</v>
      </c>
      <c r="C101" s="12"/>
      <c r="E101" s="8"/>
      <c r="F101" s="8"/>
      <c r="G101" s="8"/>
      <c r="H101" s="8"/>
      <c r="I101" s="8"/>
      <c r="J101" s="8"/>
      <c r="K101" s="8"/>
      <c r="L101" s="8"/>
    </row>
    <row r="102">
      <c r="A102" s="12" t="s">
        <v>1033</v>
      </c>
      <c r="B102" s="46" t="s">
        <v>768</v>
      </c>
      <c r="C102" s="12"/>
      <c r="E102" s="8"/>
      <c r="F102" s="8"/>
      <c r="G102" s="8"/>
      <c r="H102" s="8"/>
      <c r="I102" s="8"/>
      <c r="J102" s="8"/>
      <c r="K102" s="8"/>
      <c r="L102" s="8"/>
    </row>
    <row r="103">
      <c r="A103" s="12" t="s">
        <v>1034</v>
      </c>
      <c r="B103" s="46" t="s">
        <v>768</v>
      </c>
      <c r="C103" s="12"/>
      <c r="E103" s="8"/>
      <c r="F103" s="8"/>
      <c r="G103" s="8"/>
      <c r="H103" s="8"/>
      <c r="I103" s="8"/>
      <c r="J103" s="8"/>
      <c r="K103" s="8"/>
      <c r="L103" s="8"/>
    </row>
    <row r="104">
      <c r="A104" s="12" t="s">
        <v>1035</v>
      </c>
      <c r="B104" s="46" t="s">
        <v>768</v>
      </c>
      <c r="C104" s="12"/>
      <c r="E104" s="8"/>
      <c r="F104" s="8"/>
      <c r="G104" s="8"/>
      <c r="H104" s="8"/>
      <c r="I104" s="8"/>
      <c r="J104" s="8"/>
      <c r="K104" s="8"/>
      <c r="L104" s="8"/>
    </row>
    <row r="105">
      <c r="A105" s="12" t="s">
        <v>576</v>
      </c>
      <c r="B105" s="46" t="s">
        <v>768</v>
      </c>
      <c r="C105" s="12"/>
      <c r="E105" s="8"/>
      <c r="F105" s="8"/>
      <c r="G105" s="8"/>
      <c r="H105" s="8"/>
      <c r="I105" s="8"/>
      <c r="J105" s="8"/>
      <c r="K105" s="8"/>
      <c r="L105" s="8"/>
    </row>
    <row r="106">
      <c r="A106" s="12" t="s">
        <v>1036</v>
      </c>
      <c r="B106" s="46" t="s">
        <v>768</v>
      </c>
      <c r="C106" s="12"/>
      <c r="E106" s="8"/>
      <c r="F106" s="8"/>
      <c r="G106" s="8"/>
      <c r="H106" s="8"/>
      <c r="I106" s="8"/>
      <c r="J106" s="8"/>
      <c r="K106" s="8"/>
      <c r="L106" s="8"/>
    </row>
    <row r="107">
      <c r="A107" s="12" t="s">
        <v>1037</v>
      </c>
      <c r="B107" s="46" t="s">
        <v>768</v>
      </c>
      <c r="C107" s="12"/>
      <c r="E107" s="8"/>
      <c r="F107" s="8"/>
      <c r="G107" s="8"/>
      <c r="H107" s="8"/>
      <c r="I107" s="8"/>
      <c r="J107" s="8"/>
      <c r="K107" s="8"/>
      <c r="L107" s="8"/>
    </row>
    <row r="108">
      <c r="A108" s="12" t="s">
        <v>1038</v>
      </c>
      <c r="B108" s="46" t="s">
        <v>768</v>
      </c>
      <c r="C108" s="12"/>
      <c r="E108" s="8"/>
      <c r="F108" s="8"/>
      <c r="G108" s="8"/>
      <c r="H108" s="8"/>
      <c r="I108" s="8"/>
      <c r="J108" s="8"/>
      <c r="K108" s="8"/>
      <c r="L108" s="8"/>
    </row>
    <row r="109">
      <c r="A109" s="12" t="s">
        <v>1039</v>
      </c>
      <c r="B109" s="46" t="s">
        <v>768</v>
      </c>
      <c r="C109" s="12"/>
      <c r="E109" s="8"/>
      <c r="F109" s="8"/>
      <c r="G109" s="8"/>
      <c r="H109" s="8"/>
      <c r="I109" s="8"/>
      <c r="J109" s="8"/>
      <c r="K109" s="8"/>
      <c r="L109" s="8"/>
    </row>
    <row r="110">
      <c r="A110" s="12" t="s">
        <v>1040</v>
      </c>
      <c r="B110" s="46" t="s">
        <v>768</v>
      </c>
      <c r="C110" s="12"/>
      <c r="E110" s="8"/>
      <c r="F110" s="8"/>
      <c r="G110" s="8"/>
      <c r="H110" s="8"/>
      <c r="I110" s="8"/>
      <c r="J110" s="8"/>
      <c r="K110" s="8"/>
      <c r="L110" s="8"/>
    </row>
    <row r="111">
      <c r="A111" s="12" t="s">
        <v>1041</v>
      </c>
      <c r="B111" s="46" t="s">
        <v>768</v>
      </c>
      <c r="C111" s="12"/>
      <c r="E111" s="8"/>
      <c r="F111" s="8"/>
      <c r="G111" s="8"/>
      <c r="H111" s="8"/>
      <c r="I111" s="8"/>
      <c r="J111" s="8"/>
      <c r="K111" s="8"/>
      <c r="L111" s="8"/>
    </row>
    <row r="112">
      <c r="A112" s="12" t="s">
        <v>1042</v>
      </c>
      <c r="B112" s="46" t="s">
        <v>768</v>
      </c>
      <c r="C112" s="12"/>
      <c r="E112" s="8"/>
      <c r="F112" s="8"/>
      <c r="G112" s="8"/>
      <c r="H112" s="8"/>
      <c r="I112" s="8"/>
      <c r="J112" s="8"/>
      <c r="K112" s="8"/>
      <c r="L112" s="8"/>
    </row>
    <row r="113">
      <c r="A113" s="12" t="s">
        <v>1043</v>
      </c>
      <c r="B113" s="46" t="s">
        <v>768</v>
      </c>
      <c r="E113" s="8"/>
      <c r="F113" s="8"/>
      <c r="G113" s="8"/>
      <c r="H113" s="8"/>
      <c r="I113" s="8"/>
      <c r="J113" s="8"/>
      <c r="K113" s="8"/>
      <c r="L113" s="8"/>
    </row>
    <row r="114">
      <c r="A114" s="12" t="s">
        <v>1044</v>
      </c>
      <c r="B114" s="46" t="s">
        <v>768</v>
      </c>
      <c r="E114" s="8"/>
      <c r="F114" s="8"/>
      <c r="G114" s="8"/>
      <c r="H114" s="8"/>
      <c r="I114" s="8"/>
      <c r="J114" s="8"/>
      <c r="K114" s="8"/>
      <c r="L114" s="8"/>
    </row>
    <row r="115">
      <c r="A115" s="12" t="s">
        <v>1045</v>
      </c>
      <c r="B115" s="46" t="s">
        <v>768</v>
      </c>
      <c r="E115" s="8"/>
      <c r="F115" s="8"/>
      <c r="G115" s="8"/>
      <c r="H115" s="8"/>
      <c r="I115" s="8"/>
      <c r="J115" s="8"/>
      <c r="K115" s="8"/>
      <c r="L115" s="8"/>
    </row>
    <row r="116">
      <c r="A116" s="12" t="s">
        <v>579</v>
      </c>
      <c r="B116" s="46" t="s">
        <v>768</v>
      </c>
    </row>
    <row r="117">
      <c r="A117" s="12" t="s">
        <v>1046</v>
      </c>
      <c r="B117" s="46" t="s">
        <v>768</v>
      </c>
    </row>
    <row r="118">
      <c r="A118" s="12" t="s">
        <v>1047</v>
      </c>
      <c r="B118" s="46" t="s">
        <v>768</v>
      </c>
    </row>
    <row r="119">
      <c r="A119" s="12" t="s">
        <v>1048</v>
      </c>
      <c r="B119" s="46" t="s">
        <v>768</v>
      </c>
    </row>
    <row r="120">
      <c r="A120" s="12" t="s">
        <v>1049</v>
      </c>
      <c r="B120" s="46" t="s">
        <v>768</v>
      </c>
    </row>
    <row r="121">
      <c r="A121" s="12" t="s">
        <v>1050</v>
      </c>
      <c r="B121" s="46" t="s">
        <v>768</v>
      </c>
    </row>
    <row r="122">
      <c r="A122" s="12" t="s">
        <v>1051</v>
      </c>
      <c r="B122" s="46" t="s">
        <v>768</v>
      </c>
    </row>
    <row r="123">
      <c r="A123" s="12" t="s">
        <v>1052</v>
      </c>
      <c r="B123" s="46" t="s">
        <v>768</v>
      </c>
    </row>
    <row r="124">
      <c r="A124" s="12" t="s">
        <v>1053</v>
      </c>
      <c r="B124" s="46" t="s">
        <v>768</v>
      </c>
    </row>
    <row r="125">
      <c r="A125" s="12" t="s">
        <v>1054</v>
      </c>
      <c r="B125" s="46" t="s">
        <v>768</v>
      </c>
    </row>
    <row r="126">
      <c r="A126" s="12" t="s">
        <v>1055</v>
      </c>
      <c r="B126" s="46" t="s">
        <v>768</v>
      </c>
    </row>
    <row r="127">
      <c r="A127" s="12" t="s">
        <v>581</v>
      </c>
      <c r="B127" s="46" t="s">
        <v>768</v>
      </c>
    </row>
    <row r="128">
      <c r="A128" s="12" t="s">
        <v>582</v>
      </c>
      <c r="B128" s="46" t="s">
        <v>768</v>
      </c>
    </row>
    <row r="129">
      <c r="A129" s="12" t="s">
        <v>1056</v>
      </c>
      <c r="B129" s="46" t="s">
        <v>768</v>
      </c>
    </row>
    <row r="130">
      <c r="A130" s="12" t="s">
        <v>1057</v>
      </c>
      <c r="B130" s="46" t="s">
        <v>768</v>
      </c>
    </row>
    <row r="131">
      <c r="A131" s="12" t="s">
        <v>1058</v>
      </c>
      <c r="B131" s="46" t="s">
        <v>768</v>
      </c>
    </row>
    <row r="132">
      <c r="A132" s="12" t="s">
        <v>1059</v>
      </c>
      <c r="B132" s="46" t="s">
        <v>768</v>
      </c>
    </row>
    <row r="133">
      <c r="A133" s="12" t="s">
        <v>1060</v>
      </c>
      <c r="B133" s="46" t="s">
        <v>768</v>
      </c>
    </row>
    <row r="134">
      <c r="A134" s="12" t="s">
        <v>1061</v>
      </c>
      <c r="B134" s="46" t="s">
        <v>768</v>
      </c>
    </row>
    <row r="135">
      <c r="A135" s="12" t="s">
        <v>1062</v>
      </c>
      <c r="B135" s="46" t="s">
        <v>768</v>
      </c>
    </row>
    <row r="136">
      <c r="A136" s="12" t="s">
        <v>1063</v>
      </c>
      <c r="B136" s="46" t="s">
        <v>768</v>
      </c>
    </row>
    <row r="137">
      <c r="A137" s="12" t="s">
        <v>1064</v>
      </c>
      <c r="B137" s="46" t="s">
        <v>768</v>
      </c>
    </row>
    <row r="138">
      <c r="A138" s="12" t="s">
        <v>948</v>
      </c>
      <c r="B138" s="46" t="s">
        <v>768</v>
      </c>
    </row>
    <row r="139">
      <c r="A139" s="12" t="s">
        <v>1065</v>
      </c>
      <c r="B139" s="46" t="s">
        <v>768</v>
      </c>
    </row>
    <row r="140">
      <c r="A140" s="12" t="s">
        <v>1066</v>
      </c>
      <c r="B140" s="46" t="s">
        <v>768</v>
      </c>
    </row>
    <row r="141">
      <c r="A141" s="12" t="s">
        <v>1067</v>
      </c>
      <c r="B141" s="46" t="s">
        <v>768</v>
      </c>
    </row>
    <row r="142">
      <c r="A142" s="12" t="s">
        <v>1068</v>
      </c>
      <c r="B142" s="46" t="s">
        <v>768</v>
      </c>
    </row>
    <row r="143">
      <c r="A143" s="12" t="s">
        <v>1069</v>
      </c>
      <c r="B143" s="46" t="s">
        <v>768</v>
      </c>
    </row>
    <row r="144">
      <c r="A144" s="12" t="s">
        <v>1070</v>
      </c>
      <c r="B144" s="46" t="s">
        <v>768</v>
      </c>
    </row>
    <row r="145">
      <c r="A145" s="12" t="s">
        <v>1071</v>
      </c>
      <c r="B145" s="46" t="s">
        <v>768</v>
      </c>
    </row>
    <row r="146">
      <c r="A146" s="12" t="s">
        <v>1072</v>
      </c>
      <c r="B146" s="46" t="s">
        <v>768</v>
      </c>
    </row>
    <row r="147">
      <c r="A147" s="12" t="s">
        <v>1073</v>
      </c>
      <c r="B147" s="46" t="s">
        <v>768</v>
      </c>
    </row>
    <row r="148">
      <c r="A148" s="12" t="s">
        <v>1074</v>
      </c>
      <c r="B148" s="46" t="s">
        <v>768</v>
      </c>
    </row>
    <row r="149">
      <c r="A149" s="12" t="s">
        <v>1075</v>
      </c>
      <c r="B149" s="46" t="s">
        <v>768</v>
      </c>
    </row>
    <row r="150">
      <c r="A150" s="12" t="s">
        <v>1076</v>
      </c>
      <c r="B150" s="46" t="s">
        <v>768</v>
      </c>
    </row>
    <row r="151">
      <c r="A151" s="12" t="s">
        <v>1077</v>
      </c>
      <c r="B151" s="46" t="s">
        <v>768</v>
      </c>
    </row>
    <row r="152">
      <c r="A152" s="12" t="s">
        <v>1078</v>
      </c>
      <c r="B152" s="46" t="s">
        <v>768</v>
      </c>
    </row>
    <row r="153">
      <c r="A153" s="12" t="s">
        <v>1079</v>
      </c>
      <c r="B153" s="46" t="s">
        <v>768</v>
      </c>
    </row>
    <row r="154">
      <c r="A154" s="12" t="s">
        <v>1080</v>
      </c>
      <c r="B154" s="46" t="s">
        <v>768</v>
      </c>
    </row>
    <row r="155">
      <c r="A155" s="12" t="s">
        <v>1081</v>
      </c>
      <c r="B155" s="46" t="s">
        <v>768</v>
      </c>
    </row>
    <row r="156">
      <c r="A156" s="12" t="s">
        <v>1082</v>
      </c>
      <c r="B156" s="46" t="s">
        <v>768</v>
      </c>
    </row>
    <row r="157">
      <c r="A157" s="12" t="s">
        <v>1083</v>
      </c>
      <c r="B157" s="46" t="s">
        <v>768</v>
      </c>
    </row>
    <row r="158">
      <c r="A158" s="12" t="s">
        <v>1084</v>
      </c>
      <c r="B158" s="46" t="s">
        <v>768</v>
      </c>
    </row>
    <row r="159">
      <c r="A159" s="12" t="s">
        <v>1085</v>
      </c>
      <c r="B159" s="46" t="s">
        <v>768</v>
      </c>
    </row>
    <row r="160">
      <c r="A160" s="12" t="s">
        <v>1086</v>
      </c>
      <c r="B160" s="46" t="s">
        <v>768</v>
      </c>
    </row>
    <row r="161">
      <c r="A161" s="12" t="s">
        <v>1087</v>
      </c>
      <c r="B161" s="46" t="s">
        <v>768</v>
      </c>
    </row>
    <row r="162">
      <c r="A162" s="12" t="s">
        <v>1088</v>
      </c>
      <c r="B162" s="46" t="s">
        <v>768</v>
      </c>
    </row>
    <row r="163">
      <c r="A163" s="12" t="s">
        <v>1089</v>
      </c>
      <c r="B163" s="46" t="s">
        <v>768</v>
      </c>
    </row>
    <row r="164">
      <c r="A164" s="12" t="s">
        <v>1090</v>
      </c>
      <c r="B164" s="46" t="s">
        <v>768</v>
      </c>
    </row>
    <row r="165">
      <c r="A165" s="12" t="s">
        <v>1091</v>
      </c>
      <c r="B165" s="46" t="s">
        <v>768</v>
      </c>
    </row>
    <row r="166">
      <c r="A166" s="12" t="s">
        <v>1092</v>
      </c>
      <c r="B166" s="46" t="s">
        <v>768</v>
      </c>
    </row>
    <row r="167">
      <c r="A167" s="12" t="s">
        <v>1093</v>
      </c>
      <c r="B167" s="46" t="s">
        <v>768</v>
      </c>
    </row>
    <row r="168">
      <c r="A168" s="12" t="s">
        <v>1094</v>
      </c>
      <c r="B168" s="46" t="s">
        <v>768</v>
      </c>
    </row>
    <row r="169">
      <c r="A169" s="12" t="s">
        <v>1095</v>
      </c>
      <c r="B169" s="46" t="s">
        <v>768</v>
      </c>
    </row>
    <row r="170">
      <c r="A170" s="12" t="s">
        <v>1096</v>
      </c>
      <c r="B170" s="46" t="s">
        <v>768</v>
      </c>
    </row>
    <row r="171">
      <c r="A171" s="12" t="s">
        <v>1097</v>
      </c>
      <c r="B171" s="46" t="s">
        <v>768</v>
      </c>
    </row>
    <row r="172">
      <c r="A172" s="12" t="s">
        <v>1098</v>
      </c>
      <c r="B172" s="46" t="s">
        <v>768</v>
      </c>
    </row>
    <row r="173">
      <c r="A173" s="12"/>
      <c r="B173" s="46"/>
    </row>
    <row r="174">
      <c r="A174" s="12"/>
      <c r="B174" s="46"/>
    </row>
    <row r="175">
      <c r="A175" s="12"/>
    </row>
    <row r="176">
      <c r="A176" s="12"/>
    </row>
    <row r="177">
      <c r="A177" s="12"/>
    </row>
    <row r="178">
      <c r="A178" s="12"/>
    </row>
    <row r="179">
      <c r="A179" s="12"/>
    </row>
    <row r="180">
      <c r="A180" s="12"/>
    </row>
    <row r="181">
      <c r="A181" s="12"/>
    </row>
    <row r="182">
      <c r="A182" s="12"/>
    </row>
  </sheetData>
  <mergeCells count="5">
    <mergeCell ref="A1:L1"/>
    <mergeCell ref="A2:L2"/>
    <mergeCell ref="A3:L3"/>
    <mergeCell ref="A4:L4"/>
    <mergeCell ref="J23:K23"/>
  </mergeCells>
  <conditionalFormatting sqref="D68">
    <cfRule type="cellIs" dxfId="0" priority="1" operator="equal">
      <formula>"Yes"</formula>
    </cfRule>
  </conditionalFormatting>
  <conditionalFormatting sqref="D68">
    <cfRule type="cellIs" dxfId="1" priority="2" operator="equal">
      <formula>"No"</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6" max="7" width="17.25"/>
    <col customWidth="1" min="8" max="8" width="16.38"/>
    <col customWidth="1" min="9" max="9" width="15.0"/>
    <col customWidth="1" min="10" max="10" width="18.0"/>
    <col customWidth="1" min="11" max="11" width="14.5"/>
  </cols>
  <sheetData>
    <row r="1">
      <c r="A1" s="1" t="s">
        <v>1099</v>
      </c>
    </row>
    <row r="2">
      <c r="A2" s="2" t="s">
        <v>1</v>
      </c>
    </row>
    <row r="3">
      <c r="A3" s="3" t="s">
        <v>1100</v>
      </c>
    </row>
    <row r="4">
      <c r="A4" s="3" t="s">
        <v>3</v>
      </c>
    </row>
    <row r="5">
      <c r="A5" s="4"/>
      <c r="B5" s="4"/>
      <c r="C5" s="4"/>
      <c r="D5" s="4"/>
      <c r="E5" s="4"/>
      <c r="F5" s="4"/>
      <c r="G5" s="4"/>
      <c r="H5" s="4"/>
      <c r="I5" s="4"/>
      <c r="J5" s="5"/>
      <c r="K5" s="5"/>
      <c r="L5" s="5"/>
    </row>
    <row r="6">
      <c r="A6" s="6" t="s">
        <v>4</v>
      </c>
    </row>
    <row r="7">
      <c r="A7" s="7" t="s">
        <v>1101</v>
      </c>
      <c r="B7" s="7"/>
      <c r="C7" s="7"/>
      <c r="D7" s="7"/>
      <c r="E7" s="7"/>
      <c r="F7" s="7"/>
      <c r="G7" s="7"/>
      <c r="H7" s="7"/>
      <c r="I7" s="7"/>
      <c r="J7" s="7"/>
      <c r="K7" s="7"/>
      <c r="L7" s="7"/>
    </row>
    <row r="8">
      <c r="A8" s="8" t="s">
        <v>6</v>
      </c>
    </row>
    <row r="9">
      <c r="A9" s="8" t="s">
        <v>7</v>
      </c>
    </row>
    <row r="10">
      <c r="A10" s="8" t="s">
        <v>447</v>
      </c>
    </row>
    <row r="11">
      <c r="A11" s="8" t="s">
        <v>8</v>
      </c>
    </row>
    <row r="12">
      <c r="A12" s="8" t="s">
        <v>9</v>
      </c>
    </row>
    <row r="15">
      <c r="A15" s="9" t="s">
        <v>10</v>
      </c>
      <c r="B15" s="10" t="s">
        <v>11</v>
      </c>
      <c r="C15" s="10" t="s">
        <v>12</v>
      </c>
      <c r="D15" s="10" t="s">
        <v>13</v>
      </c>
      <c r="F15" s="11" t="s">
        <v>14</v>
      </c>
      <c r="G15" s="11" t="s">
        <v>15</v>
      </c>
      <c r="H15" s="11" t="s">
        <v>16</v>
      </c>
      <c r="J15" s="11" t="s">
        <v>17</v>
      </c>
      <c r="K15" s="11" t="s">
        <v>18</v>
      </c>
      <c r="L15" s="11" t="s">
        <v>19</v>
      </c>
    </row>
    <row r="16">
      <c r="A16" s="12" t="s">
        <v>123</v>
      </c>
      <c r="B16" s="13">
        <v>42856.0</v>
      </c>
      <c r="C16" s="14" t="s">
        <v>56</v>
      </c>
      <c r="D16" s="15">
        <v>135.0</v>
      </c>
      <c r="E16" s="8"/>
      <c r="F16" s="16" t="s">
        <v>402</v>
      </c>
      <c r="G16" s="20">
        <f>D20+D31+D38+D34+(D16/2)+(D18/2)+(D21/2)</f>
        <v>229</v>
      </c>
      <c r="H16" s="8" t="s">
        <v>450</v>
      </c>
      <c r="J16" s="8" t="s">
        <v>23</v>
      </c>
      <c r="K16" s="19">
        <v>0.45</v>
      </c>
      <c r="L16" s="8">
        <f t="shared" ref="L16:L20" si="1">K16*$D$57</f>
        <v>607.5</v>
      </c>
      <c r="N16" s="8"/>
    </row>
    <row r="17">
      <c r="A17" s="12" t="s">
        <v>67</v>
      </c>
      <c r="B17" s="25" t="s">
        <v>168</v>
      </c>
      <c r="C17" s="23" t="s">
        <v>41</v>
      </c>
      <c r="D17" s="24">
        <v>152.0</v>
      </c>
      <c r="E17" s="8"/>
      <c r="F17" s="16" t="s">
        <v>393</v>
      </c>
      <c r="G17" s="20">
        <f>D30+D45+(D36/2)</f>
        <v>39</v>
      </c>
      <c r="H17" s="8" t="s">
        <v>450</v>
      </c>
      <c r="I17" s="8"/>
      <c r="J17" s="8" t="s">
        <v>26</v>
      </c>
      <c r="K17" s="19">
        <v>0.25</v>
      </c>
      <c r="L17" s="8">
        <f t="shared" si="1"/>
        <v>337.5</v>
      </c>
      <c r="N17" s="8"/>
    </row>
    <row r="18">
      <c r="A18" s="12" t="s">
        <v>27</v>
      </c>
      <c r="B18" s="22">
        <v>42948.0</v>
      </c>
      <c r="C18" s="23" t="s">
        <v>403</v>
      </c>
      <c r="D18" s="24">
        <v>91.0</v>
      </c>
      <c r="E18" s="8"/>
      <c r="F18" s="16" t="s">
        <v>392</v>
      </c>
      <c r="G18" s="20">
        <f>D26+D35+D40+D56+D54</f>
        <v>243</v>
      </c>
      <c r="H18" s="8" t="s">
        <v>450</v>
      </c>
      <c r="I18" s="8"/>
      <c r="J18" s="8" t="s">
        <v>29</v>
      </c>
      <c r="K18" s="19">
        <v>0.15</v>
      </c>
      <c r="L18" s="8">
        <f t="shared" si="1"/>
        <v>202.5</v>
      </c>
      <c r="N18" s="8"/>
    </row>
    <row r="19">
      <c r="A19" s="12" t="s">
        <v>93</v>
      </c>
      <c r="B19" s="25" t="s">
        <v>1102</v>
      </c>
      <c r="C19" s="23" t="s">
        <v>63</v>
      </c>
      <c r="D19" s="24">
        <v>75.0</v>
      </c>
      <c r="E19" s="8"/>
      <c r="F19" s="16" t="s">
        <v>388</v>
      </c>
      <c r="G19" s="20">
        <f>D29</f>
        <v>35</v>
      </c>
      <c r="H19" s="8" t="s">
        <v>450</v>
      </c>
      <c r="I19" s="8"/>
      <c r="J19" s="8" t="s">
        <v>32</v>
      </c>
      <c r="K19" s="19">
        <v>0.1</v>
      </c>
      <c r="L19" s="8">
        <f t="shared" si="1"/>
        <v>135</v>
      </c>
      <c r="N19" s="8"/>
    </row>
    <row r="20">
      <c r="A20" s="12" t="s">
        <v>186</v>
      </c>
      <c r="B20" s="25" t="s">
        <v>391</v>
      </c>
      <c r="C20" s="23" t="s">
        <v>395</v>
      </c>
      <c r="D20" s="24">
        <v>42.0</v>
      </c>
      <c r="F20" s="16" t="s">
        <v>405</v>
      </c>
      <c r="G20" s="20">
        <v>0.0</v>
      </c>
      <c r="H20" s="8" t="s">
        <v>187</v>
      </c>
      <c r="I20" s="8"/>
      <c r="J20" s="8" t="s">
        <v>36</v>
      </c>
      <c r="K20" s="19">
        <v>0.05</v>
      </c>
      <c r="L20" s="8">
        <f t="shared" si="1"/>
        <v>67.5</v>
      </c>
      <c r="N20" s="8"/>
    </row>
    <row r="21">
      <c r="A21" s="12" t="s">
        <v>24</v>
      </c>
      <c r="B21" s="25" t="s">
        <v>260</v>
      </c>
      <c r="C21" s="23" t="s">
        <v>403</v>
      </c>
      <c r="D21" s="24">
        <v>40.0</v>
      </c>
      <c r="F21" s="16" t="s">
        <v>404</v>
      </c>
      <c r="G21" s="20">
        <f>D22+(D19/2)+(D36/2)</f>
        <v>92.5</v>
      </c>
      <c r="H21" s="8" t="s">
        <v>450</v>
      </c>
      <c r="I21" s="8"/>
      <c r="J21" s="8"/>
      <c r="K21" s="8"/>
      <c r="L21" s="8"/>
    </row>
    <row r="22">
      <c r="A22" s="12" t="s">
        <v>237</v>
      </c>
      <c r="B22" s="25" t="s">
        <v>260</v>
      </c>
      <c r="C22" s="23" t="s">
        <v>51</v>
      </c>
      <c r="D22" s="24">
        <v>46.0</v>
      </c>
      <c r="E22" s="8"/>
      <c r="F22" s="16" t="s">
        <v>401</v>
      </c>
      <c r="G22" s="20">
        <f>D17+D25+D52+D53</f>
        <v>202</v>
      </c>
      <c r="H22" s="8" t="s">
        <v>450</v>
      </c>
      <c r="I22" s="8"/>
      <c r="J22" s="8"/>
      <c r="K22" s="8"/>
      <c r="L22" s="8"/>
    </row>
    <row r="23">
      <c r="A23" s="12" t="s">
        <v>57</v>
      </c>
      <c r="B23" s="25" t="s">
        <v>43</v>
      </c>
      <c r="C23" s="23" t="s">
        <v>63</v>
      </c>
      <c r="D23" s="24">
        <v>45.0</v>
      </c>
      <c r="E23" s="8"/>
      <c r="F23" s="16" t="s">
        <v>385</v>
      </c>
      <c r="G23" s="20">
        <f>D24+D39+D48+D41</f>
        <v>79</v>
      </c>
      <c r="H23" s="8" t="s">
        <v>450</v>
      </c>
      <c r="I23" s="8"/>
      <c r="J23" s="26" t="s">
        <v>45</v>
      </c>
      <c r="K23" s="27"/>
      <c r="L23" s="8"/>
    </row>
    <row r="24">
      <c r="A24" s="12" t="s">
        <v>52</v>
      </c>
      <c r="B24" s="25" t="s">
        <v>50</v>
      </c>
      <c r="C24" s="23" t="s">
        <v>607</v>
      </c>
      <c r="D24" s="24">
        <v>37.0</v>
      </c>
      <c r="F24" s="16" t="s">
        <v>61</v>
      </c>
      <c r="G24" s="20">
        <v>0.0</v>
      </c>
      <c r="H24" s="8" t="s">
        <v>187</v>
      </c>
      <c r="I24" s="8"/>
      <c r="J24" s="66">
        <v>1.0</v>
      </c>
      <c r="K24" s="66" t="s">
        <v>131</v>
      </c>
      <c r="L24" s="108" t="s">
        <v>1103</v>
      </c>
      <c r="M24">
        <f>L16/2</f>
        <v>303.75</v>
      </c>
      <c r="N24">
        <f>L16/2</f>
        <v>303.75</v>
      </c>
    </row>
    <row r="25">
      <c r="A25" s="12" t="s">
        <v>131</v>
      </c>
      <c r="B25" s="25" t="s">
        <v>50</v>
      </c>
      <c r="C25" s="23" t="s">
        <v>41</v>
      </c>
      <c r="D25" s="24">
        <v>36.0</v>
      </c>
      <c r="E25" s="8"/>
      <c r="F25" s="16" t="s">
        <v>399</v>
      </c>
      <c r="G25" s="20">
        <f>D42</f>
        <v>15</v>
      </c>
      <c r="H25" s="8" t="s">
        <v>450</v>
      </c>
      <c r="I25" s="8"/>
      <c r="J25" s="73">
        <v>2.0</v>
      </c>
      <c r="K25" s="73" t="s">
        <v>52</v>
      </c>
      <c r="L25" s="108" t="s">
        <v>607</v>
      </c>
      <c r="M25">
        <f t="shared" ref="M25:M26" si="2">L17</f>
        <v>337.5</v>
      </c>
    </row>
    <row r="26">
      <c r="A26" s="12" t="s">
        <v>369</v>
      </c>
      <c r="B26" s="25" t="s">
        <v>345</v>
      </c>
      <c r="C26" s="23" t="s">
        <v>28</v>
      </c>
      <c r="D26" s="24">
        <v>35.0</v>
      </c>
      <c r="E26" s="8"/>
      <c r="F26" s="16" t="s">
        <v>389</v>
      </c>
      <c r="G26" s="20">
        <v>0.0</v>
      </c>
      <c r="H26" s="8" t="s">
        <v>187</v>
      </c>
      <c r="J26" s="66">
        <v>3.0</v>
      </c>
      <c r="K26" s="66" t="s">
        <v>148</v>
      </c>
      <c r="L26" s="108" t="s">
        <v>28</v>
      </c>
      <c r="M26">
        <f t="shared" si="2"/>
        <v>202.5</v>
      </c>
    </row>
    <row r="27">
      <c r="A27" s="12" t="s">
        <v>80</v>
      </c>
      <c r="B27" s="25" t="s">
        <v>58</v>
      </c>
      <c r="C27" s="23" t="s">
        <v>63</v>
      </c>
      <c r="D27" s="24">
        <v>33.0</v>
      </c>
      <c r="E27" s="8"/>
      <c r="F27" s="16" t="s">
        <v>394</v>
      </c>
      <c r="G27" s="20">
        <f>D28+D51</f>
        <v>36</v>
      </c>
      <c r="H27" s="8" t="s">
        <v>450</v>
      </c>
      <c r="J27" s="73" t="s">
        <v>264</v>
      </c>
      <c r="K27" s="73" t="s">
        <v>356</v>
      </c>
      <c r="L27" s="108" t="s">
        <v>400</v>
      </c>
      <c r="M27">
        <f>(L19+L20)/2</f>
        <v>101.25</v>
      </c>
    </row>
    <row r="28">
      <c r="A28" s="12" t="s">
        <v>144</v>
      </c>
      <c r="B28" s="25" t="s">
        <v>58</v>
      </c>
      <c r="C28" s="23" t="s">
        <v>412</v>
      </c>
      <c r="D28" s="24">
        <v>28.0</v>
      </c>
      <c r="E28" s="8"/>
      <c r="F28" s="16" t="s">
        <v>406</v>
      </c>
      <c r="G28" s="20">
        <f>(D18+D21)/2</f>
        <v>65.5</v>
      </c>
      <c r="H28" s="8" t="s">
        <v>450</v>
      </c>
      <c r="I28" s="8"/>
      <c r="J28" s="66" t="s">
        <v>264</v>
      </c>
      <c r="K28" s="66" t="s">
        <v>273</v>
      </c>
      <c r="L28" s="108" t="s">
        <v>607</v>
      </c>
      <c r="M28">
        <f>(L19+L20)/2</f>
        <v>101.25</v>
      </c>
    </row>
    <row r="29">
      <c r="A29" s="12" t="s">
        <v>82</v>
      </c>
      <c r="B29" s="25" t="s">
        <v>58</v>
      </c>
      <c r="C29" s="23" t="s">
        <v>21</v>
      </c>
      <c r="D29" s="24">
        <v>35.0</v>
      </c>
      <c r="E29" s="8"/>
      <c r="F29" s="16" t="s">
        <v>410</v>
      </c>
      <c r="G29" s="55">
        <f>(D19/2)+D23+D44+D27+D55</f>
        <v>136.5</v>
      </c>
      <c r="H29" s="8" t="s">
        <v>450</v>
      </c>
      <c r="I29" s="8"/>
      <c r="J29" s="73"/>
      <c r="K29" s="73"/>
      <c r="L29" s="8"/>
    </row>
    <row r="30">
      <c r="A30" s="12" t="s">
        <v>309</v>
      </c>
      <c r="B30" s="25" t="s">
        <v>176</v>
      </c>
      <c r="C30" s="23" t="s">
        <v>31</v>
      </c>
      <c r="D30" s="24">
        <v>21.0</v>
      </c>
      <c r="E30" s="8"/>
      <c r="F30" s="16" t="s">
        <v>407</v>
      </c>
      <c r="G30" s="20">
        <f>(D16/2)+D43+D49</f>
        <v>85.5</v>
      </c>
      <c r="H30" s="8" t="s">
        <v>450</v>
      </c>
      <c r="I30" s="8"/>
      <c r="J30" s="60"/>
      <c r="K30" s="73"/>
      <c r="L30" s="8"/>
    </row>
    <row r="31">
      <c r="A31" s="12" t="s">
        <v>415</v>
      </c>
      <c r="B31" s="25" t="s">
        <v>72</v>
      </c>
      <c r="C31" s="23" t="s">
        <v>395</v>
      </c>
      <c r="D31" s="24">
        <v>20.0</v>
      </c>
      <c r="E31" s="8"/>
      <c r="F31" s="16" t="s">
        <v>400</v>
      </c>
      <c r="G31" s="55">
        <f>D32+D33+D37+D46+D47+D50</f>
        <v>92</v>
      </c>
      <c r="H31" s="8" t="s">
        <v>450</v>
      </c>
      <c r="I31" s="8"/>
      <c r="J31" s="8"/>
      <c r="K31" s="8"/>
      <c r="L31" s="8"/>
    </row>
    <row r="32">
      <c r="A32" s="12" t="s">
        <v>267</v>
      </c>
      <c r="B32" s="25" t="s">
        <v>75</v>
      </c>
      <c r="C32" s="23" t="s">
        <v>400</v>
      </c>
      <c r="D32" s="24">
        <v>27.0</v>
      </c>
      <c r="E32" s="8"/>
      <c r="F32" s="16" t="s">
        <v>1104</v>
      </c>
      <c r="G32" s="20">
        <v>0.0</v>
      </c>
      <c r="H32" s="8" t="s">
        <v>187</v>
      </c>
      <c r="I32" s="8"/>
      <c r="J32" s="8"/>
      <c r="K32" s="8"/>
      <c r="L32" s="8"/>
    </row>
    <row r="33">
      <c r="A33" s="12" t="s">
        <v>356</v>
      </c>
      <c r="B33" s="25" t="s">
        <v>75</v>
      </c>
      <c r="C33" s="23" t="s">
        <v>400</v>
      </c>
      <c r="D33" s="24">
        <v>19.0</v>
      </c>
      <c r="E33" s="8"/>
      <c r="F33" s="34" t="s">
        <v>73</v>
      </c>
      <c r="G33" s="78">
        <f>sum(G16:G32)</f>
        <v>1350</v>
      </c>
      <c r="H33" s="8"/>
      <c r="I33" s="8"/>
      <c r="J33" s="8"/>
      <c r="K33" s="8"/>
      <c r="L33" s="8"/>
    </row>
    <row r="34">
      <c r="A34" s="12" t="s">
        <v>175</v>
      </c>
      <c r="B34" s="25" t="s">
        <v>75</v>
      </c>
      <c r="C34" s="23" t="s">
        <v>395</v>
      </c>
      <c r="D34" s="24">
        <v>17.0</v>
      </c>
      <c r="E34" s="8"/>
      <c r="F34" s="8"/>
      <c r="G34" s="8"/>
      <c r="H34" s="8"/>
      <c r="I34" s="8"/>
      <c r="J34" s="8"/>
      <c r="K34" s="8"/>
      <c r="L34" s="8"/>
    </row>
    <row r="35">
      <c r="A35" s="12" t="s">
        <v>60</v>
      </c>
      <c r="B35" s="25" t="s">
        <v>79</v>
      </c>
      <c r="C35" s="23" t="s">
        <v>28</v>
      </c>
      <c r="D35" s="24">
        <v>20.0</v>
      </c>
      <c r="E35" s="8"/>
      <c r="F35" s="8"/>
      <c r="G35" s="8"/>
      <c r="H35" s="8"/>
      <c r="I35" s="8"/>
      <c r="J35" s="8"/>
      <c r="K35" s="8"/>
      <c r="L35" s="8"/>
    </row>
    <row r="36">
      <c r="A36" s="12" t="s">
        <v>69</v>
      </c>
      <c r="B36" s="25" t="s">
        <v>81</v>
      </c>
      <c r="C36" s="23" t="s">
        <v>1105</v>
      </c>
      <c r="D36" s="24">
        <v>18.0</v>
      </c>
      <c r="E36" s="8"/>
      <c r="F36" s="8"/>
      <c r="G36" s="8"/>
      <c r="H36" s="8"/>
      <c r="I36" s="8"/>
      <c r="J36" s="8"/>
      <c r="K36" s="8"/>
      <c r="L36" s="8"/>
    </row>
    <row r="37">
      <c r="A37" s="12" t="s">
        <v>310</v>
      </c>
      <c r="B37" s="25" t="s">
        <v>81</v>
      </c>
      <c r="C37" s="23" t="s">
        <v>400</v>
      </c>
      <c r="D37" s="24">
        <v>17.0</v>
      </c>
      <c r="E37" s="8"/>
      <c r="F37" s="8"/>
      <c r="G37" s="8"/>
      <c r="H37" s="8"/>
      <c r="I37" s="8"/>
      <c r="J37" s="8"/>
      <c r="K37" s="8"/>
      <c r="L37" s="8"/>
    </row>
    <row r="38">
      <c r="A38" s="12" t="s">
        <v>233</v>
      </c>
      <c r="B38" s="25" t="s">
        <v>81</v>
      </c>
      <c r="C38" s="23" t="s">
        <v>395</v>
      </c>
      <c r="D38" s="24">
        <v>17.0</v>
      </c>
      <c r="E38" s="8"/>
      <c r="F38" s="79" t="s">
        <v>402</v>
      </c>
      <c r="G38" s="79" t="s">
        <v>631</v>
      </c>
      <c r="H38" s="79" t="s">
        <v>392</v>
      </c>
      <c r="I38" s="79" t="s">
        <v>407</v>
      </c>
      <c r="J38" s="38" t="s">
        <v>404</v>
      </c>
      <c r="K38" s="8"/>
      <c r="L38" s="8"/>
    </row>
    <row r="39">
      <c r="A39" s="12" t="s">
        <v>273</v>
      </c>
      <c r="B39" s="25" t="s">
        <v>81</v>
      </c>
      <c r="C39" s="23" t="s">
        <v>607</v>
      </c>
      <c r="D39" s="24">
        <v>17.0</v>
      </c>
      <c r="E39" s="8"/>
      <c r="F39" s="115" t="s">
        <v>186</v>
      </c>
      <c r="G39" s="115" t="s">
        <v>309</v>
      </c>
      <c r="H39" s="115" t="s">
        <v>369</v>
      </c>
      <c r="I39" s="115" t="str">
        <f>A49</f>
        <v>Russell Henley</v>
      </c>
      <c r="J39" s="115" t="s">
        <v>1106</v>
      </c>
      <c r="K39" s="8"/>
      <c r="L39" s="8"/>
    </row>
    <row r="40">
      <c r="A40" s="12" t="s">
        <v>148</v>
      </c>
      <c r="B40" s="25" t="s">
        <v>181</v>
      </c>
      <c r="C40" s="23" t="s">
        <v>28</v>
      </c>
      <c r="D40" s="24">
        <v>17.0</v>
      </c>
      <c r="E40" s="8"/>
      <c r="F40" s="115" t="s">
        <v>415</v>
      </c>
      <c r="G40" s="115" t="s">
        <v>1107</v>
      </c>
      <c r="H40" s="115" t="s">
        <v>60</v>
      </c>
      <c r="I40" s="115" t="str">
        <f>A43</f>
        <v>Lee Westwood</v>
      </c>
      <c r="J40" s="115" t="s">
        <v>237</v>
      </c>
      <c r="K40" s="8"/>
      <c r="L40" s="8"/>
    </row>
    <row r="41">
      <c r="A41" s="12" t="s">
        <v>102</v>
      </c>
      <c r="B41" s="25" t="s">
        <v>181</v>
      </c>
      <c r="C41" s="23" t="s">
        <v>607</v>
      </c>
      <c r="D41" s="24">
        <v>16.0</v>
      </c>
      <c r="E41" s="8"/>
      <c r="F41" s="115" t="s">
        <v>175</v>
      </c>
      <c r="G41" s="115" t="s">
        <v>241</v>
      </c>
      <c r="H41" s="115" t="s">
        <v>148</v>
      </c>
      <c r="I41" s="115" t="s">
        <v>992</v>
      </c>
      <c r="J41" s="115" t="s">
        <v>1107</v>
      </c>
      <c r="K41" s="8"/>
      <c r="L41" s="8"/>
    </row>
    <row r="42">
      <c r="A42" s="12" t="s">
        <v>373</v>
      </c>
      <c r="B42" s="25" t="s">
        <v>311</v>
      </c>
      <c r="C42" s="23" t="s">
        <v>610</v>
      </c>
      <c r="D42" s="24">
        <v>15.0</v>
      </c>
      <c r="E42" s="8"/>
      <c r="F42" s="115" t="s">
        <v>233</v>
      </c>
      <c r="G42" s="115" t="s">
        <v>439</v>
      </c>
      <c r="H42" s="115" t="s">
        <v>283</v>
      </c>
      <c r="I42" s="60"/>
      <c r="J42" s="60"/>
      <c r="K42" s="8"/>
      <c r="L42" s="8"/>
    </row>
    <row r="43">
      <c r="A43" s="12" t="s">
        <v>316</v>
      </c>
      <c r="B43" s="25" t="s">
        <v>311</v>
      </c>
      <c r="C43" s="23" t="s">
        <v>56</v>
      </c>
      <c r="D43" s="24">
        <v>12.0</v>
      </c>
      <c r="E43" s="8"/>
      <c r="F43" s="115" t="s">
        <v>992</v>
      </c>
      <c r="G43" s="26" t="s">
        <v>71</v>
      </c>
      <c r="H43" s="115" t="s">
        <v>103</v>
      </c>
      <c r="I43" s="60"/>
      <c r="J43" s="60"/>
      <c r="K43" s="8"/>
      <c r="L43" s="8"/>
    </row>
    <row r="44">
      <c r="A44" s="12" t="s">
        <v>147</v>
      </c>
      <c r="B44" s="25" t="s">
        <v>311</v>
      </c>
      <c r="C44" s="23" t="s">
        <v>63</v>
      </c>
      <c r="D44" s="24">
        <v>16.0</v>
      </c>
      <c r="E44" s="8"/>
      <c r="F44" s="115" t="s">
        <v>1108</v>
      </c>
      <c r="G44" s="64" t="s">
        <v>1109</v>
      </c>
      <c r="H44" s="60"/>
      <c r="I44" s="60"/>
      <c r="J44" s="60"/>
      <c r="K44" s="8"/>
      <c r="L44" s="8"/>
    </row>
    <row r="45">
      <c r="A45" s="12" t="s">
        <v>241</v>
      </c>
      <c r="B45" s="25" t="s">
        <v>95</v>
      </c>
      <c r="C45" s="23" t="s">
        <v>31</v>
      </c>
      <c r="D45" s="24">
        <v>9.0</v>
      </c>
      <c r="E45" s="8"/>
      <c r="F45" s="64" t="s">
        <v>1110</v>
      </c>
      <c r="K45" s="8"/>
      <c r="L45" s="8"/>
    </row>
    <row r="46">
      <c r="A46" s="12" t="s">
        <v>489</v>
      </c>
      <c r="B46" s="25" t="s">
        <v>95</v>
      </c>
      <c r="C46" s="23" t="s">
        <v>400</v>
      </c>
      <c r="D46" s="24">
        <v>11.0</v>
      </c>
      <c r="E46" s="8"/>
      <c r="K46" s="8"/>
      <c r="L46" s="8"/>
    </row>
    <row r="47">
      <c r="A47" s="12" t="s">
        <v>418</v>
      </c>
      <c r="B47" s="25" t="s">
        <v>95</v>
      </c>
      <c r="C47" s="23" t="s">
        <v>400</v>
      </c>
      <c r="D47" s="24">
        <v>9.0</v>
      </c>
      <c r="E47" s="8"/>
      <c r="F47" s="79" t="s">
        <v>401</v>
      </c>
      <c r="G47" s="79" t="s">
        <v>385</v>
      </c>
      <c r="H47" s="79" t="s">
        <v>410</v>
      </c>
      <c r="I47" s="79" t="s">
        <v>61</v>
      </c>
      <c r="J47" s="79" t="s">
        <v>406</v>
      </c>
      <c r="K47" s="8"/>
      <c r="L47" s="8"/>
    </row>
    <row r="48">
      <c r="A48" s="12" t="s">
        <v>100</v>
      </c>
      <c r="B48" s="25" t="s">
        <v>95</v>
      </c>
      <c r="C48" s="23" t="s">
        <v>607</v>
      </c>
      <c r="D48" s="24">
        <v>9.0</v>
      </c>
      <c r="E48" s="8"/>
      <c r="F48" s="115" t="s">
        <v>67</v>
      </c>
      <c r="G48" s="115" t="s">
        <v>52</v>
      </c>
      <c r="H48" s="115" t="s">
        <v>1106</v>
      </c>
      <c r="I48" s="60"/>
      <c r="J48" s="115" t="s">
        <v>1110</v>
      </c>
      <c r="K48" s="8"/>
      <c r="L48" s="8"/>
    </row>
    <row r="49">
      <c r="A49" s="12" t="s">
        <v>76</v>
      </c>
      <c r="B49" s="25" t="s">
        <v>95</v>
      </c>
      <c r="C49" s="23" t="s">
        <v>56</v>
      </c>
      <c r="D49" s="24">
        <v>6.0</v>
      </c>
      <c r="E49" s="8"/>
      <c r="F49" s="115" t="s">
        <v>1109</v>
      </c>
      <c r="G49" s="115" t="s">
        <v>273</v>
      </c>
      <c r="H49" s="115" t="s">
        <v>57</v>
      </c>
      <c r="I49" s="60"/>
      <c r="J49" s="115" t="s">
        <v>1108</v>
      </c>
      <c r="K49" s="8"/>
      <c r="L49" s="8"/>
    </row>
    <row r="50">
      <c r="A50" s="12" t="s">
        <v>46</v>
      </c>
      <c r="B50" s="25" t="s">
        <v>182</v>
      </c>
      <c r="C50" s="23" t="s">
        <v>400</v>
      </c>
      <c r="D50" s="24">
        <v>9.0</v>
      </c>
      <c r="E50" s="8"/>
      <c r="F50" s="115" t="s">
        <v>996</v>
      </c>
      <c r="G50" s="115" t="s">
        <v>1111</v>
      </c>
      <c r="H50" s="115" t="s">
        <v>80</v>
      </c>
      <c r="I50" s="60"/>
      <c r="J50" s="60"/>
      <c r="K50" s="8"/>
      <c r="L50" s="8"/>
    </row>
    <row r="51">
      <c r="A51" s="12" t="s">
        <v>74</v>
      </c>
      <c r="B51" s="61" t="s">
        <v>1112</v>
      </c>
      <c r="C51" s="23" t="s">
        <v>412</v>
      </c>
      <c r="D51" s="24">
        <v>8.0</v>
      </c>
      <c r="E51" s="8"/>
      <c r="F51" s="115" t="s">
        <v>252</v>
      </c>
      <c r="G51" s="115" t="s">
        <v>100</v>
      </c>
      <c r="H51" s="115" t="s">
        <v>147</v>
      </c>
      <c r="I51" s="60"/>
      <c r="J51" s="60"/>
      <c r="K51" s="8"/>
      <c r="L51" s="8"/>
    </row>
    <row r="52">
      <c r="A52" s="12" t="s">
        <v>422</v>
      </c>
      <c r="B52" s="40" t="s">
        <v>185</v>
      </c>
      <c r="C52" s="23" t="s">
        <v>41</v>
      </c>
      <c r="D52" s="24">
        <v>8.0</v>
      </c>
      <c r="E52" s="8"/>
      <c r="F52" s="60"/>
      <c r="G52" s="60"/>
      <c r="H52" s="115" t="s">
        <v>428</v>
      </c>
      <c r="I52" s="8"/>
      <c r="J52" s="8"/>
      <c r="K52" s="8"/>
      <c r="L52" s="8"/>
    </row>
    <row r="53">
      <c r="A53" s="39" t="s">
        <v>252</v>
      </c>
      <c r="B53" s="40" t="s">
        <v>108</v>
      </c>
      <c r="C53" s="23" t="s">
        <v>41</v>
      </c>
      <c r="D53" s="23">
        <v>6.0</v>
      </c>
      <c r="E53" s="8"/>
      <c r="F53" s="8"/>
      <c r="G53" s="8"/>
      <c r="H53" s="8"/>
      <c r="I53" s="8"/>
      <c r="J53" s="8"/>
      <c r="K53" s="8"/>
      <c r="L53" s="8"/>
    </row>
    <row r="54">
      <c r="A54" s="39" t="s">
        <v>283</v>
      </c>
      <c r="B54" s="40" t="s">
        <v>108</v>
      </c>
      <c r="C54" s="23" t="s">
        <v>28</v>
      </c>
      <c r="D54" s="23">
        <v>6.0</v>
      </c>
      <c r="E54" s="8"/>
      <c r="G54" s="8"/>
      <c r="H54" s="8"/>
      <c r="I54" s="8"/>
      <c r="J54" s="8"/>
      <c r="K54" s="8"/>
      <c r="L54" s="8"/>
    </row>
    <row r="55">
      <c r="A55" s="12" t="s">
        <v>428</v>
      </c>
      <c r="B55" s="40" t="s">
        <v>108</v>
      </c>
      <c r="C55" s="23" t="s">
        <v>63</v>
      </c>
      <c r="D55" s="23">
        <v>5.0</v>
      </c>
      <c r="E55" s="8"/>
      <c r="F55" s="38" t="s">
        <v>400</v>
      </c>
      <c r="G55" s="38" t="s">
        <v>399</v>
      </c>
      <c r="H55" s="145" t="s">
        <v>388</v>
      </c>
      <c r="I55" s="38" t="s">
        <v>394</v>
      </c>
      <c r="J55" s="8"/>
      <c r="K55" s="8"/>
      <c r="L55" s="8"/>
    </row>
    <row r="56">
      <c r="A56" s="142" t="s">
        <v>103</v>
      </c>
      <c r="B56" s="64" t="s">
        <v>22</v>
      </c>
      <c r="C56" s="65" t="s">
        <v>28</v>
      </c>
      <c r="D56" s="65">
        <v>165.0</v>
      </c>
      <c r="E56" s="8"/>
      <c r="F56" s="115" t="s">
        <v>267</v>
      </c>
      <c r="G56" s="115" t="s">
        <v>373</v>
      </c>
      <c r="H56" s="115" t="s">
        <v>82</v>
      </c>
      <c r="I56" s="115" t="s">
        <v>144</v>
      </c>
      <c r="J56" s="8"/>
      <c r="K56" s="8"/>
      <c r="L56" s="8"/>
    </row>
    <row r="57">
      <c r="A57" s="8"/>
      <c r="D57" s="88">
        <f>sum(D16:D56)</f>
        <v>1350</v>
      </c>
      <c r="E57" s="8"/>
      <c r="F57" s="115" t="s">
        <v>356</v>
      </c>
      <c r="G57" s="8"/>
      <c r="H57" s="8"/>
      <c r="I57" s="115" t="s">
        <v>74</v>
      </c>
      <c r="J57" s="8"/>
      <c r="K57" s="8"/>
      <c r="L57" s="8"/>
    </row>
    <row r="58">
      <c r="A58" s="8"/>
      <c r="C58" s="89" t="s">
        <v>106</v>
      </c>
      <c r="D58" s="90" t="str">
        <f>if(G33-D57=0,"No","Yes")</f>
        <v>No</v>
      </c>
      <c r="E58" s="8"/>
      <c r="F58" s="115" t="s">
        <v>310</v>
      </c>
      <c r="G58" s="8"/>
      <c r="H58" s="8"/>
      <c r="I58" s="8"/>
      <c r="J58" s="8"/>
      <c r="K58" s="8"/>
      <c r="L58" s="8"/>
    </row>
    <row r="59">
      <c r="A59" s="60" t="s">
        <v>105</v>
      </c>
      <c r="E59" s="8"/>
      <c r="F59" s="115" t="s">
        <v>489</v>
      </c>
      <c r="G59" s="8"/>
      <c r="H59" s="8"/>
      <c r="I59" s="8"/>
      <c r="J59" s="8"/>
      <c r="K59" s="8"/>
      <c r="L59" s="8"/>
    </row>
    <row r="60">
      <c r="A60" s="12" t="s">
        <v>1113</v>
      </c>
      <c r="B60" s="46" t="s">
        <v>28</v>
      </c>
      <c r="C60" s="12"/>
      <c r="E60" s="8"/>
      <c r="F60" s="115" t="s">
        <v>418</v>
      </c>
      <c r="G60" s="8"/>
      <c r="H60" s="8"/>
      <c r="I60" s="8"/>
      <c r="J60" s="8"/>
      <c r="K60" s="8"/>
      <c r="L60" s="8"/>
    </row>
    <row r="61">
      <c r="A61" s="12" t="s">
        <v>1114</v>
      </c>
      <c r="B61" s="46" t="s">
        <v>28</v>
      </c>
      <c r="C61" s="12"/>
      <c r="E61" s="8"/>
      <c r="F61" s="115" t="s">
        <v>46</v>
      </c>
      <c r="G61" s="8"/>
      <c r="H61" s="8"/>
      <c r="I61" s="8"/>
      <c r="J61" s="8"/>
      <c r="K61" s="8"/>
      <c r="L61" s="8"/>
    </row>
    <row r="62">
      <c r="A62" s="12" t="s">
        <v>1115</v>
      </c>
      <c r="B62" s="46" t="s">
        <v>28</v>
      </c>
      <c r="C62" s="12"/>
      <c r="E62" s="8"/>
      <c r="F62" s="8"/>
      <c r="G62" s="8"/>
      <c r="H62" s="8"/>
      <c r="I62" s="8"/>
      <c r="J62" s="8"/>
      <c r="K62" s="8"/>
      <c r="L62" s="8"/>
    </row>
    <row r="63">
      <c r="A63" s="12" t="s">
        <v>1116</v>
      </c>
      <c r="B63" s="46" t="s">
        <v>28</v>
      </c>
      <c r="C63" s="12"/>
      <c r="E63" s="8"/>
      <c r="F63" s="8"/>
      <c r="G63" s="8"/>
      <c r="H63" s="8"/>
      <c r="I63" s="8"/>
      <c r="J63" s="8"/>
      <c r="K63" s="8"/>
      <c r="L63" s="8"/>
    </row>
    <row r="64">
      <c r="A64" s="12" t="s">
        <v>1117</v>
      </c>
      <c r="B64" s="46" t="s">
        <v>28</v>
      </c>
      <c r="C64" s="12"/>
      <c r="E64" s="8"/>
      <c r="F64" s="8"/>
      <c r="G64" s="8"/>
      <c r="H64" s="8"/>
      <c r="I64" s="8"/>
      <c r="J64" s="8"/>
      <c r="K64" s="8"/>
      <c r="L64" s="8"/>
    </row>
    <row r="65">
      <c r="A65" s="12" t="s">
        <v>1118</v>
      </c>
      <c r="B65" s="46" t="s">
        <v>28</v>
      </c>
      <c r="C65" s="12"/>
      <c r="E65" s="8"/>
      <c r="F65" s="8"/>
      <c r="G65" s="8"/>
      <c r="H65" s="8"/>
      <c r="I65" s="8"/>
      <c r="J65" s="8"/>
      <c r="K65" s="8"/>
      <c r="L65" s="8"/>
    </row>
    <row r="66">
      <c r="A66" s="12" t="s">
        <v>1119</v>
      </c>
      <c r="B66" s="46" t="s">
        <v>28</v>
      </c>
      <c r="C66" s="12"/>
      <c r="E66" s="8"/>
      <c r="F66" s="8"/>
      <c r="G66" s="8"/>
      <c r="H66" s="8"/>
      <c r="I66" s="8"/>
      <c r="J66" s="8"/>
      <c r="K66" s="8"/>
      <c r="L66" s="8"/>
    </row>
    <row r="67">
      <c r="A67" s="12" t="s">
        <v>1120</v>
      </c>
      <c r="B67" s="46" t="s">
        <v>28</v>
      </c>
      <c r="C67" s="12"/>
      <c r="E67" s="8"/>
      <c r="F67" s="8"/>
      <c r="G67" s="8"/>
      <c r="H67" s="8"/>
      <c r="I67" s="8"/>
      <c r="J67" s="8"/>
      <c r="K67" s="8"/>
      <c r="L67" s="8"/>
    </row>
    <row r="68">
      <c r="A68" s="12" t="s">
        <v>1121</v>
      </c>
      <c r="B68" s="46" t="s">
        <v>28</v>
      </c>
      <c r="C68" s="12"/>
      <c r="E68" s="8"/>
      <c r="F68" s="8"/>
      <c r="G68" s="8"/>
      <c r="H68" s="8"/>
      <c r="I68" s="8"/>
      <c r="J68" s="8"/>
      <c r="K68" s="8"/>
      <c r="L68" s="8"/>
    </row>
    <row r="69">
      <c r="A69" s="12" t="s">
        <v>1122</v>
      </c>
      <c r="B69" s="46" t="s">
        <v>28</v>
      </c>
      <c r="C69" s="12"/>
      <c r="E69" s="8"/>
      <c r="F69" s="8"/>
      <c r="G69" s="8"/>
      <c r="H69" s="8"/>
      <c r="I69" s="8"/>
      <c r="J69" s="8"/>
      <c r="K69" s="8"/>
      <c r="L69" s="8"/>
    </row>
    <row r="70">
      <c r="A70" s="12" t="s">
        <v>1123</v>
      </c>
      <c r="B70" s="46" t="s">
        <v>28</v>
      </c>
      <c r="C70" s="12"/>
      <c r="E70" s="8"/>
      <c r="F70" s="8"/>
      <c r="G70" s="8"/>
      <c r="H70" s="8"/>
      <c r="I70" s="8"/>
      <c r="J70" s="8"/>
      <c r="K70" s="8"/>
      <c r="L70" s="8"/>
    </row>
    <row r="71">
      <c r="A71" s="12" t="s">
        <v>1124</v>
      </c>
      <c r="B71" s="46" t="s">
        <v>28</v>
      </c>
      <c r="C71" s="12"/>
      <c r="E71" s="8"/>
      <c r="F71" s="8"/>
      <c r="G71" s="8"/>
      <c r="H71" s="8"/>
      <c r="I71" s="8"/>
      <c r="J71" s="8"/>
      <c r="K71" s="8"/>
      <c r="L71" s="8"/>
    </row>
    <row r="72">
      <c r="A72" s="12" t="s">
        <v>1125</v>
      </c>
      <c r="B72" s="46" t="s">
        <v>28</v>
      </c>
      <c r="C72" s="12"/>
      <c r="E72" s="8"/>
      <c r="F72" s="8"/>
      <c r="G72" s="8"/>
      <c r="H72" s="8"/>
      <c r="I72" s="8"/>
      <c r="J72" s="8"/>
      <c r="K72" s="8"/>
      <c r="L72" s="8"/>
    </row>
    <row r="73">
      <c r="A73" s="12" t="s">
        <v>889</v>
      </c>
      <c r="B73" s="46" t="s">
        <v>28</v>
      </c>
      <c r="C73" s="12"/>
      <c r="E73" s="8"/>
      <c r="F73" s="8"/>
      <c r="G73" s="8"/>
      <c r="H73" s="8"/>
      <c r="I73" s="8"/>
      <c r="J73" s="8"/>
      <c r="K73" s="8"/>
      <c r="L73" s="8"/>
    </row>
    <row r="74">
      <c r="A74" s="12" t="s">
        <v>891</v>
      </c>
      <c r="B74" s="46" t="s">
        <v>28</v>
      </c>
      <c r="C74" s="12"/>
      <c r="E74" s="8"/>
      <c r="F74" s="8"/>
      <c r="G74" s="8"/>
      <c r="H74" s="8"/>
      <c r="I74" s="8"/>
      <c r="J74" s="8"/>
      <c r="K74" s="8"/>
      <c r="L74" s="8"/>
    </row>
    <row r="75">
      <c r="A75" s="12" t="s">
        <v>1126</v>
      </c>
      <c r="B75" s="46" t="s">
        <v>28</v>
      </c>
      <c r="C75" s="12"/>
      <c r="E75" s="8"/>
      <c r="F75" s="8"/>
      <c r="G75" s="8"/>
      <c r="H75" s="8"/>
      <c r="I75" s="8"/>
      <c r="J75" s="8"/>
      <c r="K75" s="8"/>
      <c r="L75" s="8"/>
    </row>
    <row r="76">
      <c r="A76" s="12" t="s">
        <v>1019</v>
      </c>
      <c r="B76" s="46" t="s">
        <v>28</v>
      </c>
      <c r="C76" s="12"/>
      <c r="E76" s="8"/>
      <c r="F76" s="8"/>
      <c r="G76" s="8"/>
      <c r="H76" s="8"/>
      <c r="I76" s="8"/>
      <c r="J76" s="8"/>
      <c r="K76" s="8"/>
      <c r="L76" s="8"/>
    </row>
    <row r="77">
      <c r="A77" s="12" t="s">
        <v>1127</v>
      </c>
      <c r="B77" s="46" t="s">
        <v>28</v>
      </c>
      <c r="C77" s="12"/>
      <c r="E77" s="8"/>
      <c r="F77" s="8"/>
      <c r="G77" s="8"/>
      <c r="H77" s="8"/>
      <c r="I77" s="8"/>
      <c r="J77" s="8"/>
      <c r="K77" s="8"/>
      <c r="L77" s="8"/>
    </row>
    <row r="78">
      <c r="A78" s="12" t="s">
        <v>1128</v>
      </c>
      <c r="B78" s="46" t="s">
        <v>28</v>
      </c>
      <c r="C78" s="12"/>
      <c r="E78" s="8"/>
      <c r="F78" s="8"/>
      <c r="G78" s="8"/>
      <c r="H78" s="8"/>
      <c r="I78" s="8"/>
      <c r="J78" s="8"/>
      <c r="K78" s="8"/>
      <c r="L78" s="8"/>
    </row>
    <row r="79">
      <c r="A79" s="12" t="s">
        <v>1129</v>
      </c>
      <c r="B79" s="46" t="s">
        <v>28</v>
      </c>
      <c r="C79" s="12"/>
      <c r="E79" s="8"/>
      <c r="F79" s="8"/>
      <c r="G79" s="8"/>
      <c r="H79" s="8"/>
      <c r="I79" s="8"/>
      <c r="J79" s="8"/>
      <c r="K79" s="8"/>
      <c r="L79" s="8"/>
    </row>
    <row r="80">
      <c r="A80" s="12" t="s">
        <v>1130</v>
      </c>
      <c r="B80" s="46" t="s">
        <v>28</v>
      </c>
      <c r="C80" s="12"/>
      <c r="E80" s="8"/>
      <c r="F80" s="8"/>
      <c r="G80" s="8"/>
      <c r="H80" s="8"/>
      <c r="I80" s="8"/>
      <c r="J80" s="8"/>
      <c r="K80" s="8"/>
      <c r="L80" s="8"/>
    </row>
    <row r="81">
      <c r="A81" s="12" t="s">
        <v>1131</v>
      </c>
      <c r="B81" s="46" t="s">
        <v>28</v>
      </c>
      <c r="C81" s="12"/>
      <c r="E81" s="8"/>
      <c r="F81" s="8"/>
      <c r="G81" s="8"/>
      <c r="H81" s="8"/>
      <c r="I81" s="8"/>
      <c r="J81" s="8"/>
      <c r="K81" s="8"/>
      <c r="L81" s="8"/>
    </row>
    <row r="82">
      <c r="A82" s="12" t="s">
        <v>1132</v>
      </c>
      <c r="B82" s="46" t="s">
        <v>28</v>
      </c>
      <c r="C82" s="12"/>
      <c r="E82" s="8"/>
      <c r="F82" s="8"/>
      <c r="G82" s="8"/>
      <c r="H82" s="8"/>
      <c r="I82" s="8"/>
      <c r="J82" s="8"/>
      <c r="K82" s="8"/>
      <c r="L82" s="8"/>
    </row>
    <row r="83">
      <c r="A83" s="12" t="s">
        <v>1133</v>
      </c>
      <c r="B83" s="46" t="s">
        <v>28</v>
      </c>
      <c r="C83" s="12"/>
      <c r="E83" s="8"/>
      <c r="F83" s="8"/>
      <c r="G83" s="8"/>
      <c r="H83" s="8"/>
      <c r="I83" s="8"/>
      <c r="J83" s="8"/>
      <c r="K83" s="8"/>
      <c r="L83" s="8"/>
    </row>
    <row r="84">
      <c r="A84" s="12" t="s">
        <v>1134</v>
      </c>
      <c r="B84" s="46" t="s">
        <v>28</v>
      </c>
      <c r="C84" s="12"/>
      <c r="E84" s="8"/>
      <c r="F84" s="8"/>
      <c r="G84" s="8"/>
      <c r="H84" s="8"/>
      <c r="I84" s="8"/>
      <c r="J84" s="8"/>
      <c r="K84" s="8"/>
      <c r="L84" s="8"/>
    </row>
    <row r="85">
      <c r="A85" s="12" t="s">
        <v>1135</v>
      </c>
      <c r="B85" s="46" t="s">
        <v>28</v>
      </c>
      <c r="C85" s="12"/>
      <c r="E85" s="8"/>
      <c r="F85" s="8"/>
      <c r="G85" s="8"/>
      <c r="H85" s="8"/>
      <c r="I85" s="8"/>
      <c r="J85" s="8"/>
      <c r="K85" s="8"/>
      <c r="L85" s="8"/>
    </row>
    <row r="86">
      <c r="A86" s="12" t="s">
        <v>1136</v>
      </c>
      <c r="B86" s="46" t="s">
        <v>28</v>
      </c>
      <c r="C86" s="12"/>
      <c r="E86" s="8"/>
      <c r="F86" s="8"/>
      <c r="G86" s="8"/>
      <c r="H86" s="8"/>
      <c r="I86" s="8"/>
      <c r="J86" s="8"/>
      <c r="K86" s="8"/>
      <c r="L86" s="8"/>
    </row>
    <row r="87">
      <c r="A87" s="12" t="s">
        <v>1137</v>
      </c>
      <c r="B87" s="46" t="s">
        <v>28</v>
      </c>
      <c r="C87" s="12"/>
      <c r="E87" s="8"/>
      <c r="F87" s="8"/>
      <c r="G87" s="8"/>
      <c r="H87" s="8"/>
      <c r="I87" s="8"/>
      <c r="J87" s="8"/>
      <c r="K87" s="8"/>
      <c r="L87" s="8"/>
    </row>
    <row r="88">
      <c r="A88" s="12" t="s">
        <v>1138</v>
      </c>
      <c r="B88" s="46" t="s">
        <v>28</v>
      </c>
      <c r="C88" s="12"/>
      <c r="E88" s="8"/>
      <c r="F88" s="8"/>
      <c r="G88" s="8"/>
      <c r="H88" s="8"/>
      <c r="I88" s="8"/>
      <c r="J88" s="8"/>
      <c r="K88" s="8"/>
      <c r="L88" s="8"/>
    </row>
    <row r="89">
      <c r="A89" s="12" t="s">
        <v>1139</v>
      </c>
      <c r="B89" s="46" t="s">
        <v>28</v>
      </c>
      <c r="C89" s="12"/>
      <c r="E89" s="8"/>
      <c r="F89" s="8"/>
      <c r="G89" s="8"/>
      <c r="H89" s="8"/>
      <c r="I89" s="8"/>
      <c r="J89" s="8"/>
      <c r="K89" s="8"/>
      <c r="L89" s="8"/>
    </row>
    <row r="90">
      <c r="A90" s="12" t="s">
        <v>1140</v>
      </c>
      <c r="B90" s="46" t="s">
        <v>28</v>
      </c>
      <c r="C90" s="12"/>
      <c r="E90" s="8"/>
      <c r="F90" s="8"/>
      <c r="G90" s="8"/>
      <c r="H90" s="8"/>
      <c r="I90" s="8"/>
      <c r="J90" s="8"/>
      <c r="K90" s="8"/>
      <c r="L90" s="8"/>
    </row>
    <row r="91">
      <c r="A91" s="12" t="s">
        <v>1141</v>
      </c>
      <c r="B91" s="46" t="s">
        <v>28</v>
      </c>
      <c r="C91" s="12"/>
      <c r="E91" s="8"/>
      <c r="F91" s="8"/>
      <c r="G91" s="8"/>
      <c r="H91" s="8"/>
      <c r="I91" s="8"/>
      <c r="J91" s="8"/>
      <c r="K91" s="8"/>
      <c r="L91" s="8"/>
    </row>
    <row r="92">
      <c r="A92" s="12" t="s">
        <v>1142</v>
      </c>
      <c r="B92" s="46" t="s">
        <v>28</v>
      </c>
      <c r="C92" s="12"/>
      <c r="E92" s="8"/>
      <c r="F92" s="8"/>
      <c r="G92" s="8"/>
      <c r="H92" s="8"/>
      <c r="I92" s="8"/>
      <c r="J92" s="8"/>
      <c r="K92" s="8"/>
      <c r="L92" s="8"/>
    </row>
    <row r="93">
      <c r="A93" s="12" t="s">
        <v>1043</v>
      </c>
      <c r="B93" s="46" t="s">
        <v>28</v>
      </c>
      <c r="C93" s="12"/>
      <c r="E93" s="8"/>
      <c r="F93" s="8"/>
      <c r="G93" s="8"/>
      <c r="H93" s="8"/>
      <c r="I93" s="8"/>
      <c r="J93" s="8"/>
      <c r="K93" s="8"/>
      <c r="L93" s="8"/>
    </row>
    <row r="94">
      <c r="A94" s="12" t="s">
        <v>1143</v>
      </c>
      <c r="B94" s="46" t="s">
        <v>28</v>
      </c>
      <c r="C94" s="12"/>
      <c r="E94" s="8"/>
      <c r="F94" s="8"/>
      <c r="G94" s="8"/>
      <c r="H94" s="8"/>
      <c r="I94" s="8"/>
      <c r="J94" s="8"/>
      <c r="K94" s="8"/>
      <c r="L94" s="8"/>
    </row>
    <row r="95">
      <c r="A95" s="12" t="s">
        <v>1144</v>
      </c>
      <c r="B95" s="46" t="s">
        <v>28</v>
      </c>
      <c r="C95" s="12"/>
      <c r="E95" s="8"/>
      <c r="F95" s="8"/>
      <c r="G95" s="8"/>
      <c r="H95" s="8"/>
      <c r="I95" s="8"/>
      <c r="J95" s="8"/>
      <c r="K95" s="8"/>
      <c r="L95" s="8"/>
    </row>
    <row r="96">
      <c r="A96" s="12" t="s">
        <v>1145</v>
      </c>
      <c r="B96" s="46" t="s">
        <v>28</v>
      </c>
      <c r="C96" s="12"/>
      <c r="E96" s="8"/>
      <c r="F96" s="8"/>
      <c r="G96" s="8"/>
      <c r="H96" s="8"/>
      <c r="I96" s="8"/>
      <c r="J96" s="8"/>
      <c r="K96" s="8"/>
      <c r="L96" s="8"/>
    </row>
    <row r="97">
      <c r="A97" s="12" t="s">
        <v>1146</v>
      </c>
      <c r="B97" s="46" t="s">
        <v>28</v>
      </c>
      <c r="C97" s="12"/>
      <c r="E97" s="8"/>
      <c r="F97" s="8"/>
      <c r="G97" s="8"/>
      <c r="H97" s="8"/>
      <c r="I97" s="8"/>
      <c r="J97" s="8"/>
      <c r="K97" s="8"/>
      <c r="L97" s="8"/>
    </row>
    <row r="98">
      <c r="A98" s="12" t="s">
        <v>1048</v>
      </c>
      <c r="B98" s="46" t="s">
        <v>28</v>
      </c>
      <c r="C98" s="12"/>
      <c r="E98" s="8"/>
      <c r="F98" s="8"/>
      <c r="G98" s="8"/>
      <c r="H98" s="8"/>
      <c r="I98" s="8"/>
      <c r="J98" s="8"/>
      <c r="K98" s="8"/>
      <c r="L98" s="8"/>
    </row>
    <row r="99">
      <c r="A99" s="12" t="s">
        <v>1147</v>
      </c>
      <c r="B99" s="46" t="s">
        <v>28</v>
      </c>
      <c r="C99" s="12"/>
      <c r="E99" s="8"/>
      <c r="F99" s="8"/>
      <c r="G99" s="8"/>
      <c r="H99" s="8"/>
      <c r="I99" s="8"/>
      <c r="J99" s="8"/>
      <c r="K99" s="8"/>
      <c r="L99" s="8"/>
    </row>
    <row r="100">
      <c r="A100" s="12" t="s">
        <v>1148</v>
      </c>
      <c r="B100" s="46" t="s">
        <v>31</v>
      </c>
      <c r="C100" s="12"/>
      <c r="E100" s="8"/>
      <c r="F100" s="8"/>
      <c r="G100" s="8"/>
      <c r="H100" s="8"/>
      <c r="I100" s="8"/>
      <c r="J100" s="8"/>
      <c r="K100" s="8"/>
      <c r="L100" s="8"/>
    </row>
    <row r="101">
      <c r="A101" s="12" t="s">
        <v>580</v>
      </c>
      <c r="B101" s="46" t="s">
        <v>28</v>
      </c>
      <c r="C101" s="12"/>
      <c r="E101" s="8"/>
      <c r="F101" s="8"/>
      <c r="G101" s="8"/>
      <c r="H101" s="8"/>
      <c r="I101" s="8"/>
      <c r="J101" s="8"/>
      <c r="K101" s="8"/>
      <c r="L101" s="8"/>
    </row>
    <row r="102">
      <c r="A102" s="12" t="s">
        <v>582</v>
      </c>
      <c r="B102" s="46" t="s">
        <v>28</v>
      </c>
      <c r="C102" s="12"/>
      <c r="E102" s="8"/>
      <c r="F102" s="8"/>
      <c r="G102" s="8"/>
      <c r="H102" s="8"/>
      <c r="I102" s="8"/>
      <c r="J102" s="8"/>
      <c r="K102" s="8"/>
      <c r="L102" s="8"/>
    </row>
    <row r="103">
      <c r="A103" s="12" t="s">
        <v>1063</v>
      </c>
      <c r="B103" s="46" t="s">
        <v>28</v>
      </c>
      <c r="C103" s="12"/>
      <c r="E103" s="8"/>
      <c r="F103" s="8"/>
      <c r="G103" s="8"/>
      <c r="H103" s="8"/>
      <c r="I103" s="8"/>
      <c r="J103" s="8"/>
      <c r="K103" s="8"/>
      <c r="L103" s="8"/>
    </row>
    <row r="104">
      <c r="A104" s="12" t="s">
        <v>1149</v>
      </c>
      <c r="B104" s="46" t="s">
        <v>28</v>
      </c>
      <c r="C104" s="12"/>
      <c r="E104" s="8"/>
      <c r="F104" s="8"/>
      <c r="G104" s="8"/>
      <c r="H104" s="8"/>
      <c r="I104" s="8"/>
      <c r="J104" s="8"/>
      <c r="K104" s="8"/>
      <c r="L104" s="8"/>
    </row>
    <row r="105">
      <c r="A105" s="12" t="s">
        <v>1150</v>
      </c>
      <c r="B105" s="46" t="s">
        <v>28</v>
      </c>
      <c r="C105" s="12"/>
      <c r="E105" s="8"/>
      <c r="F105" s="8"/>
      <c r="G105" s="8"/>
      <c r="H105" s="8"/>
      <c r="I105" s="8"/>
      <c r="J105" s="8"/>
      <c r="K105" s="8"/>
      <c r="L105" s="8"/>
    </row>
    <row r="106">
      <c r="A106" s="12" t="s">
        <v>1151</v>
      </c>
      <c r="B106" s="46" t="s">
        <v>28</v>
      </c>
      <c r="C106" s="12"/>
      <c r="E106" s="8"/>
      <c r="F106" s="8"/>
      <c r="G106" s="8"/>
      <c r="H106" s="8"/>
      <c r="I106" s="8"/>
      <c r="J106" s="8"/>
      <c r="K106" s="8"/>
      <c r="L106" s="8"/>
    </row>
    <row r="107">
      <c r="A107" s="12" t="s">
        <v>1152</v>
      </c>
      <c r="B107" s="46" t="s">
        <v>28</v>
      </c>
      <c r="C107" s="12"/>
      <c r="E107" s="8"/>
      <c r="F107" s="8"/>
      <c r="G107" s="8"/>
      <c r="H107" s="8"/>
      <c r="I107" s="8"/>
      <c r="J107" s="8"/>
      <c r="K107" s="8"/>
      <c r="L107" s="8"/>
    </row>
    <row r="108">
      <c r="A108" s="12" t="s">
        <v>1088</v>
      </c>
      <c r="B108" s="46" t="s">
        <v>28</v>
      </c>
      <c r="C108" s="12"/>
      <c r="E108" s="8"/>
      <c r="F108" s="8"/>
      <c r="G108" s="8"/>
      <c r="H108" s="8"/>
      <c r="I108" s="8"/>
      <c r="J108" s="8"/>
      <c r="K108" s="8"/>
      <c r="L108" s="8"/>
    </row>
    <row r="109">
      <c r="A109" s="12" t="s">
        <v>1153</v>
      </c>
      <c r="B109" s="46" t="s">
        <v>28</v>
      </c>
      <c r="C109" s="12"/>
      <c r="E109" s="8"/>
      <c r="F109" s="8"/>
      <c r="G109" s="8"/>
      <c r="H109" s="8"/>
      <c r="I109" s="8"/>
      <c r="J109" s="8"/>
      <c r="K109" s="8"/>
      <c r="L109" s="8"/>
    </row>
    <row r="110">
      <c r="A110" s="12" t="s">
        <v>1154</v>
      </c>
      <c r="B110" s="46" t="s">
        <v>28</v>
      </c>
      <c r="C110" s="12"/>
      <c r="E110" s="8"/>
      <c r="F110" s="8"/>
      <c r="G110" s="8"/>
      <c r="H110" s="8"/>
      <c r="I110" s="8"/>
      <c r="J110" s="8"/>
      <c r="K110" s="8"/>
      <c r="L110" s="8"/>
    </row>
    <row r="111">
      <c r="A111" s="12" t="s">
        <v>1155</v>
      </c>
      <c r="B111" s="46" t="s">
        <v>31</v>
      </c>
      <c r="C111" s="12"/>
      <c r="E111" s="8"/>
      <c r="F111" s="8"/>
      <c r="G111" s="8"/>
      <c r="H111" s="8"/>
      <c r="I111" s="8"/>
      <c r="J111" s="8"/>
      <c r="K111" s="8"/>
      <c r="L111" s="8"/>
    </row>
    <row r="112">
      <c r="A112" s="12" t="s">
        <v>1156</v>
      </c>
      <c r="B112" s="46" t="s">
        <v>28</v>
      </c>
      <c r="C112" s="12"/>
      <c r="E112" s="8"/>
      <c r="F112" s="8"/>
      <c r="G112" s="8"/>
      <c r="H112" s="8"/>
      <c r="I112" s="8"/>
      <c r="J112" s="8"/>
      <c r="K112" s="8"/>
      <c r="L112" s="8"/>
    </row>
    <row r="113">
      <c r="A113" s="12" t="s">
        <v>1157</v>
      </c>
      <c r="B113" s="46" t="s">
        <v>28</v>
      </c>
      <c r="C113" s="12"/>
      <c r="E113" s="8"/>
      <c r="F113" s="8"/>
      <c r="G113" s="8"/>
      <c r="H113" s="8"/>
      <c r="I113" s="8"/>
      <c r="J113" s="8"/>
      <c r="K113" s="8"/>
      <c r="L113" s="8"/>
    </row>
    <row r="114">
      <c r="A114" s="146"/>
      <c r="B114" s="46"/>
      <c r="C114" s="12"/>
      <c r="E114" s="8"/>
      <c r="F114" s="8"/>
      <c r="G114" s="8"/>
      <c r="H114" s="8"/>
      <c r="I114" s="8"/>
      <c r="J114" s="8"/>
      <c r="K114" s="8"/>
      <c r="L114" s="8"/>
    </row>
    <row r="115">
      <c r="A115" s="146"/>
      <c r="B115" s="46"/>
      <c r="C115" s="12"/>
      <c r="E115" s="8"/>
      <c r="F115" s="8"/>
      <c r="G115" s="8"/>
      <c r="H115" s="8"/>
      <c r="I115" s="8"/>
      <c r="J115" s="8"/>
      <c r="K115" s="8"/>
      <c r="L115" s="8"/>
    </row>
    <row r="116">
      <c r="A116" s="146"/>
      <c r="B116" s="46"/>
      <c r="C116" s="12"/>
      <c r="E116" s="8"/>
      <c r="F116" s="8"/>
      <c r="G116" s="8"/>
      <c r="H116" s="8"/>
      <c r="I116" s="8"/>
      <c r="J116" s="8"/>
      <c r="K116" s="8"/>
      <c r="L116" s="8"/>
    </row>
    <row r="117">
      <c r="A117" s="146"/>
      <c r="B117" s="46"/>
      <c r="C117" s="12"/>
      <c r="E117" s="8"/>
      <c r="F117" s="8"/>
      <c r="G117" s="8"/>
      <c r="H117" s="8"/>
      <c r="I117" s="8"/>
      <c r="J117" s="8"/>
      <c r="K117" s="8"/>
      <c r="L117" s="8"/>
    </row>
    <row r="118">
      <c r="A118" s="146"/>
      <c r="B118" s="46"/>
      <c r="C118" s="12"/>
      <c r="E118" s="8"/>
      <c r="F118" s="8"/>
      <c r="G118" s="8"/>
      <c r="H118" s="8"/>
      <c r="I118" s="8"/>
      <c r="J118" s="8"/>
      <c r="K118" s="8"/>
      <c r="L118" s="8"/>
    </row>
    <row r="119">
      <c r="A119" s="146"/>
      <c r="B119" s="46"/>
      <c r="C119" s="12"/>
      <c r="E119" s="8"/>
      <c r="F119" s="8"/>
      <c r="G119" s="8"/>
      <c r="H119" s="8"/>
      <c r="I119" s="8"/>
      <c r="J119" s="8"/>
      <c r="K119" s="8"/>
      <c r="L119" s="8"/>
    </row>
    <row r="120">
      <c r="A120" s="146"/>
      <c r="B120" s="46"/>
      <c r="C120" s="12"/>
      <c r="E120" s="8"/>
      <c r="F120" s="8"/>
      <c r="G120" s="8"/>
      <c r="H120" s="8"/>
      <c r="I120" s="8"/>
      <c r="J120" s="8"/>
      <c r="K120" s="8"/>
      <c r="L120" s="8"/>
    </row>
    <row r="121">
      <c r="A121" s="146"/>
      <c r="B121" s="46"/>
      <c r="C121" s="12"/>
      <c r="E121" s="8"/>
      <c r="F121" s="8"/>
      <c r="G121" s="8"/>
      <c r="H121" s="8"/>
      <c r="I121" s="8"/>
      <c r="J121" s="8"/>
      <c r="K121" s="8"/>
      <c r="L121" s="8"/>
    </row>
    <row r="122">
      <c r="A122" s="146"/>
      <c r="B122" s="46"/>
      <c r="C122" s="12"/>
      <c r="E122" s="8"/>
      <c r="F122" s="8"/>
      <c r="G122" s="8"/>
      <c r="H122" s="8"/>
      <c r="I122" s="8"/>
      <c r="J122" s="8"/>
      <c r="K122" s="8"/>
      <c r="L122" s="8"/>
    </row>
    <row r="123">
      <c r="A123" s="146"/>
      <c r="B123" s="46"/>
      <c r="C123" s="12"/>
      <c r="E123" s="8"/>
      <c r="F123" s="8"/>
      <c r="G123" s="8"/>
      <c r="H123" s="8"/>
      <c r="I123" s="8"/>
      <c r="J123" s="8"/>
      <c r="K123" s="8"/>
      <c r="L123" s="8"/>
    </row>
    <row r="124">
      <c r="A124" s="146"/>
      <c r="B124" s="46"/>
      <c r="C124" s="12"/>
      <c r="E124" s="8"/>
      <c r="F124" s="8"/>
      <c r="G124" s="8"/>
      <c r="H124" s="8"/>
      <c r="I124" s="8"/>
      <c r="J124" s="8"/>
      <c r="K124" s="8"/>
      <c r="L124" s="8"/>
    </row>
    <row r="125">
      <c r="A125" s="146"/>
      <c r="B125" s="46"/>
      <c r="C125" s="12"/>
      <c r="E125" s="8"/>
      <c r="F125" s="8"/>
      <c r="G125" s="8"/>
      <c r="H125" s="8"/>
      <c r="I125" s="8"/>
      <c r="J125" s="8"/>
      <c r="K125" s="8"/>
      <c r="L125" s="8"/>
    </row>
    <row r="126">
      <c r="A126" s="146"/>
      <c r="B126" s="46"/>
      <c r="C126" s="12"/>
      <c r="E126" s="8"/>
      <c r="F126" s="8"/>
      <c r="G126" s="8"/>
      <c r="H126" s="8"/>
      <c r="I126" s="8"/>
      <c r="J126" s="8"/>
      <c r="K126" s="8"/>
      <c r="L126" s="8"/>
    </row>
    <row r="127">
      <c r="A127" s="146"/>
      <c r="B127" s="46"/>
      <c r="C127" s="12"/>
      <c r="E127" s="8"/>
      <c r="F127" s="8"/>
      <c r="G127" s="8"/>
      <c r="H127" s="8"/>
      <c r="I127" s="8"/>
      <c r="J127" s="8"/>
      <c r="K127" s="8"/>
      <c r="L127" s="8"/>
    </row>
    <row r="128">
      <c r="A128" s="146"/>
      <c r="B128" s="46"/>
      <c r="C128" s="12"/>
      <c r="E128" s="8"/>
      <c r="F128" s="8"/>
      <c r="G128" s="8"/>
      <c r="H128" s="8"/>
      <c r="I128" s="8"/>
      <c r="J128" s="8"/>
      <c r="K128" s="8"/>
      <c r="L128" s="8"/>
    </row>
    <row r="129">
      <c r="A129" s="146"/>
      <c r="B129" s="46"/>
      <c r="C129" s="12"/>
      <c r="E129" s="8"/>
      <c r="F129" s="8"/>
      <c r="G129" s="8"/>
      <c r="H129" s="8"/>
      <c r="I129" s="8"/>
      <c r="J129" s="8"/>
      <c r="K129" s="8"/>
      <c r="L129" s="8"/>
    </row>
    <row r="130">
      <c r="A130" s="146"/>
      <c r="B130" s="46"/>
      <c r="C130" s="12"/>
      <c r="E130" s="8"/>
      <c r="F130" s="8"/>
      <c r="G130" s="8"/>
      <c r="H130" s="8"/>
      <c r="I130" s="8"/>
      <c r="J130" s="8"/>
      <c r="K130" s="8"/>
      <c r="L130" s="8"/>
    </row>
    <row r="131">
      <c r="A131" s="146"/>
      <c r="B131" s="46"/>
      <c r="C131" s="12"/>
      <c r="E131" s="8"/>
      <c r="F131" s="8"/>
      <c r="G131" s="8"/>
      <c r="H131" s="8"/>
      <c r="I131" s="8"/>
      <c r="J131" s="8"/>
      <c r="K131" s="8"/>
      <c r="L131" s="8"/>
    </row>
    <row r="132">
      <c r="A132" s="146"/>
      <c r="B132" s="46"/>
      <c r="C132" s="12"/>
      <c r="E132" s="8"/>
      <c r="F132" s="8"/>
      <c r="G132" s="8"/>
      <c r="H132" s="8"/>
      <c r="I132" s="8"/>
      <c r="J132" s="8"/>
      <c r="K132" s="8"/>
      <c r="L132" s="8"/>
    </row>
    <row r="133">
      <c r="A133" s="146"/>
      <c r="B133" s="46"/>
      <c r="C133" s="12"/>
      <c r="E133" s="8"/>
      <c r="F133" s="8"/>
      <c r="G133" s="8"/>
      <c r="H133" s="8"/>
      <c r="I133" s="8"/>
      <c r="J133" s="8"/>
      <c r="K133" s="8"/>
      <c r="L133" s="8"/>
    </row>
    <row r="134">
      <c r="A134" s="146"/>
      <c r="B134" s="46"/>
      <c r="C134" s="12"/>
      <c r="E134" s="8"/>
      <c r="F134" s="8"/>
      <c r="G134" s="8"/>
      <c r="H134" s="8"/>
      <c r="I134" s="8"/>
      <c r="J134" s="8"/>
      <c r="K134" s="8"/>
      <c r="L134" s="8"/>
    </row>
    <row r="135">
      <c r="A135" s="146"/>
      <c r="B135" s="46"/>
      <c r="C135" s="12"/>
      <c r="E135" s="8"/>
      <c r="F135" s="8"/>
      <c r="G135" s="8"/>
      <c r="H135" s="8"/>
      <c r="I135" s="8"/>
      <c r="J135" s="8"/>
      <c r="K135" s="8"/>
      <c r="L135" s="8"/>
    </row>
    <row r="136">
      <c r="A136" s="146"/>
      <c r="B136" s="46"/>
      <c r="C136" s="12"/>
      <c r="E136" s="8"/>
      <c r="F136" s="8"/>
      <c r="G136" s="8"/>
      <c r="H136" s="8"/>
      <c r="I136" s="8"/>
      <c r="J136" s="8"/>
      <c r="K136" s="8"/>
      <c r="L136" s="8"/>
    </row>
    <row r="137">
      <c r="A137" s="146"/>
      <c r="B137" s="46"/>
      <c r="C137" s="12"/>
      <c r="E137" s="8"/>
      <c r="F137" s="8"/>
      <c r="G137" s="8"/>
      <c r="H137" s="8"/>
      <c r="I137" s="8"/>
      <c r="J137" s="8"/>
      <c r="K137" s="8"/>
      <c r="L137" s="8"/>
    </row>
    <row r="138">
      <c r="A138" s="146"/>
      <c r="B138" s="46"/>
      <c r="C138" s="12"/>
      <c r="E138" s="8"/>
      <c r="F138" s="8"/>
      <c r="G138" s="8"/>
      <c r="H138" s="8"/>
      <c r="I138" s="8"/>
      <c r="J138" s="8"/>
      <c r="K138" s="8"/>
      <c r="L138" s="8"/>
    </row>
    <row r="139">
      <c r="A139" s="146"/>
      <c r="B139" s="46"/>
      <c r="C139" s="12"/>
      <c r="E139" s="8"/>
      <c r="F139" s="8"/>
      <c r="G139" s="8"/>
      <c r="H139" s="8"/>
      <c r="I139" s="8"/>
      <c r="J139" s="8"/>
      <c r="K139" s="8"/>
      <c r="L139" s="8"/>
    </row>
    <row r="140">
      <c r="A140" s="146"/>
      <c r="B140" s="46"/>
      <c r="C140" s="12"/>
      <c r="E140" s="8"/>
      <c r="F140" s="8"/>
      <c r="G140" s="8"/>
      <c r="H140" s="8"/>
      <c r="I140" s="8"/>
      <c r="J140" s="8"/>
      <c r="K140" s="8"/>
      <c r="L140" s="8"/>
    </row>
    <row r="141">
      <c r="A141" s="146"/>
      <c r="B141" s="46"/>
      <c r="C141" s="12"/>
      <c r="E141" s="8"/>
      <c r="F141" s="8"/>
      <c r="G141" s="8"/>
      <c r="H141" s="8"/>
      <c r="I141" s="8"/>
      <c r="J141" s="8"/>
      <c r="K141" s="8"/>
      <c r="L141" s="8"/>
    </row>
    <row r="142">
      <c r="A142" s="146"/>
      <c r="B142" s="46"/>
      <c r="C142" s="12"/>
      <c r="E142" s="8"/>
      <c r="F142" s="8"/>
      <c r="G142" s="8"/>
      <c r="H142" s="8"/>
      <c r="I142" s="8"/>
      <c r="J142" s="8"/>
      <c r="K142" s="8"/>
      <c r="L142" s="8"/>
    </row>
    <row r="143">
      <c r="A143" s="146"/>
      <c r="B143" s="46"/>
      <c r="C143" s="12"/>
      <c r="E143" s="8"/>
      <c r="F143" s="8"/>
      <c r="G143" s="8"/>
      <c r="H143" s="8"/>
      <c r="I143" s="8"/>
      <c r="J143" s="8"/>
      <c r="K143" s="8"/>
      <c r="L143" s="8"/>
    </row>
    <row r="144">
      <c r="A144" s="146"/>
      <c r="B144" s="46"/>
      <c r="C144" s="12"/>
      <c r="E144" s="8"/>
      <c r="F144" s="8"/>
      <c r="G144" s="8"/>
      <c r="H144" s="8"/>
      <c r="I144" s="8"/>
      <c r="J144" s="8"/>
      <c r="K144" s="8"/>
      <c r="L144" s="8"/>
    </row>
    <row r="145">
      <c r="A145" s="146"/>
      <c r="B145" s="46"/>
      <c r="C145" s="12"/>
      <c r="E145" s="8"/>
      <c r="F145" s="8"/>
      <c r="G145" s="8"/>
      <c r="H145" s="8"/>
      <c r="I145" s="8"/>
      <c r="J145" s="8"/>
      <c r="K145" s="8"/>
      <c r="L145" s="8"/>
    </row>
    <row r="146">
      <c r="A146" s="146"/>
      <c r="B146" s="46"/>
      <c r="C146" s="12"/>
      <c r="E146" s="8"/>
      <c r="F146" s="8"/>
      <c r="G146" s="8"/>
      <c r="H146" s="8"/>
      <c r="I146" s="8"/>
      <c r="J146" s="8"/>
      <c r="K146" s="8"/>
      <c r="L146" s="8"/>
    </row>
    <row r="147">
      <c r="A147" s="146"/>
      <c r="B147" s="46"/>
      <c r="C147" s="12"/>
      <c r="E147" s="8"/>
      <c r="F147" s="8"/>
      <c r="G147" s="8"/>
      <c r="H147" s="8"/>
      <c r="I147" s="8"/>
      <c r="J147" s="8"/>
      <c r="K147" s="8"/>
      <c r="L147" s="8"/>
    </row>
    <row r="148">
      <c r="A148" s="146"/>
      <c r="B148" s="46"/>
      <c r="C148" s="12"/>
      <c r="E148" s="8"/>
      <c r="F148" s="8"/>
      <c r="G148" s="8"/>
      <c r="H148" s="8"/>
      <c r="I148" s="8"/>
      <c r="J148" s="8"/>
      <c r="K148" s="8"/>
      <c r="L148" s="8"/>
    </row>
    <row r="149">
      <c r="A149" s="146"/>
      <c r="B149" s="46"/>
      <c r="C149" s="12"/>
      <c r="E149" s="8"/>
      <c r="F149" s="8"/>
      <c r="G149" s="8"/>
      <c r="H149" s="8"/>
      <c r="I149" s="8"/>
      <c r="J149" s="8"/>
      <c r="K149" s="8"/>
      <c r="L149" s="8"/>
    </row>
    <row r="150">
      <c r="A150" s="146"/>
      <c r="B150" s="46"/>
      <c r="C150" s="12"/>
      <c r="E150" s="8"/>
      <c r="F150" s="8"/>
      <c r="G150" s="8"/>
      <c r="H150" s="8"/>
      <c r="I150" s="8"/>
      <c r="J150" s="8"/>
      <c r="K150" s="8"/>
      <c r="L150" s="8"/>
    </row>
    <row r="151">
      <c r="A151" s="146"/>
      <c r="B151" s="46"/>
      <c r="C151" s="12"/>
      <c r="E151" s="8"/>
      <c r="F151" s="8"/>
      <c r="G151" s="8"/>
      <c r="H151" s="8"/>
      <c r="I151" s="8"/>
      <c r="J151" s="8"/>
      <c r="K151" s="8"/>
      <c r="L151" s="8"/>
    </row>
    <row r="152">
      <c r="A152" s="146"/>
      <c r="B152" s="46"/>
      <c r="C152" s="12"/>
      <c r="E152" s="8"/>
      <c r="F152" s="8"/>
      <c r="G152" s="8"/>
      <c r="H152" s="8"/>
      <c r="I152" s="8"/>
      <c r="J152" s="8"/>
      <c r="K152" s="8"/>
      <c r="L152" s="8"/>
    </row>
    <row r="153">
      <c r="A153" s="146"/>
      <c r="B153" s="46"/>
      <c r="C153" s="12"/>
      <c r="E153" s="8"/>
      <c r="F153" s="8"/>
      <c r="G153" s="8"/>
      <c r="H153" s="8"/>
      <c r="I153" s="8"/>
      <c r="J153" s="8"/>
      <c r="K153" s="8"/>
      <c r="L153" s="8"/>
    </row>
    <row r="154">
      <c r="A154" s="146"/>
      <c r="B154" s="46"/>
      <c r="C154" s="8"/>
      <c r="E154" s="8"/>
      <c r="F154" s="8"/>
      <c r="G154" s="8"/>
      <c r="H154" s="8"/>
      <c r="I154" s="8"/>
      <c r="J154" s="8"/>
      <c r="K154" s="8"/>
      <c r="L154" s="8"/>
    </row>
    <row r="155">
      <c r="A155" s="146"/>
      <c r="B155" s="50"/>
      <c r="C155" s="8"/>
      <c r="E155" s="8"/>
      <c r="F155" s="8"/>
      <c r="G155" s="8"/>
      <c r="H155" s="8"/>
      <c r="I155" s="8"/>
      <c r="J155" s="8"/>
      <c r="K155" s="8"/>
      <c r="L155" s="8"/>
    </row>
    <row r="156">
      <c r="A156" s="146"/>
      <c r="B156" s="50"/>
      <c r="C156" s="8"/>
      <c r="E156" s="8"/>
      <c r="F156" s="8"/>
      <c r="G156" s="8"/>
      <c r="H156" s="8"/>
      <c r="I156" s="8"/>
      <c r="J156" s="8"/>
      <c r="K156" s="8"/>
      <c r="L156" s="8"/>
    </row>
    <row r="157">
      <c r="A157" s="146"/>
      <c r="B157" s="50"/>
      <c r="C157" s="8"/>
      <c r="E157" s="8"/>
      <c r="F157" s="8"/>
      <c r="G157" s="8"/>
      <c r="H157" s="8"/>
      <c r="I157" s="8"/>
      <c r="J157" s="8"/>
      <c r="K157" s="8"/>
      <c r="L157" s="8"/>
    </row>
    <row r="158">
      <c r="A158" s="146"/>
      <c r="B158" s="50"/>
      <c r="C158" s="8"/>
      <c r="E158" s="8"/>
      <c r="F158" s="8"/>
      <c r="G158" s="8"/>
      <c r="H158" s="8"/>
      <c r="I158" s="8"/>
      <c r="J158" s="8"/>
      <c r="K158" s="8"/>
      <c r="L158" s="8"/>
    </row>
    <row r="159">
      <c r="A159" s="146"/>
      <c r="B159" s="50"/>
      <c r="C159" s="8"/>
      <c r="E159" s="8"/>
      <c r="F159" s="8"/>
      <c r="G159" s="8"/>
      <c r="H159" s="8"/>
      <c r="I159" s="8"/>
      <c r="J159" s="8"/>
      <c r="K159" s="8"/>
      <c r="L159" s="8"/>
    </row>
    <row r="160">
      <c r="A160" s="146"/>
      <c r="B160" s="50"/>
      <c r="C160" s="8"/>
      <c r="E160" s="8"/>
      <c r="F160" s="8"/>
      <c r="G160" s="8"/>
      <c r="H160" s="8"/>
      <c r="I160" s="8"/>
      <c r="J160" s="8"/>
      <c r="K160" s="8"/>
      <c r="L160" s="8"/>
    </row>
    <row r="161">
      <c r="A161" s="146"/>
      <c r="B161" s="50"/>
      <c r="C161" s="8"/>
      <c r="E161" s="8"/>
      <c r="F161" s="8"/>
      <c r="G161" s="8"/>
      <c r="H161" s="8"/>
      <c r="I161" s="8"/>
      <c r="J161" s="8"/>
      <c r="K161" s="8"/>
      <c r="L161" s="8"/>
    </row>
    <row r="162">
      <c r="A162" s="146"/>
      <c r="B162" s="50"/>
      <c r="C162" s="8"/>
      <c r="E162" s="8"/>
      <c r="F162" s="8"/>
      <c r="G162" s="8"/>
      <c r="H162" s="8"/>
      <c r="I162" s="8"/>
      <c r="J162" s="8"/>
      <c r="K162" s="8"/>
      <c r="L162" s="8"/>
    </row>
    <row r="163">
      <c r="A163" s="146"/>
      <c r="B163" s="50"/>
      <c r="C163" s="8"/>
      <c r="E163" s="8"/>
      <c r="F163" s="8"/>
      <c r="G163" s="8"/>
      <c r="H163" s="8"/>
      <c r="I163" s="8"/>
      <c r="J163" s="8"/>
      <c r="K163" s="8"/>
      <c r="L163" s="8"/>
    </row>
    <row r="164">
      <c r="A164" s="146"/>
      <c r="B164" s="50"/>
      <c r="C164" s="8"/>
      <c r="E164" s="8"/>
      <c r="F164" s="8"/>
      <c r="G164" s="8"/>
      <c r="H164" s="8"/>
      <c r="I164" s="8"/>
      <c r="J164" s="8"/>
      <c r="K164" s="8"/>
      <c r="L164" s="8"/>
    </row>
    <row r="165">
      <c r="A165" s="146"/>
      <c r="B165" s="50"/>
      <c r="C165" s="8"/>
      <c r="E165" s="8"/>
      <c r="F165" s="8"/>
      <c r="G165" s="8"/>
      <c r="H165" s="8"/>
      <c r="I165" s="8"/>
      <c r="J165" s="8"/>
      <c r="K165" s="8"/>
      <c r="L165" s="8"/>
    </row>
    <row r="166">
      <c r="A166" s="146"/>
      <c r="B166" s="50"/>
      <c r="C166" s="8"/>
      <c r="E166" s="8"/>
      <c r="F166" s="8"/>
      <c r="G166" s="8"/>
      <c r="H166" s="8"/>
      <c r="I166" s="8"/>
      <c r="J166" s="8"/>
      <c r="K166" s="8"/>
      <c r="L166" s="8"/>
    </row>
    <row r="167">
      <c r="A167" s="146"/>
      <c r="B167" s="50"/>
      <c r="C167" s="8"/>
      <c r="E167" s="8"/>
      <c r="F167" s="8"/>
      <c r="G167" s="8"/>
      <c r="H167" s="8"/>
      <c r="I167" s="8"/>
      <c r="J167" s="8"/>
      <c r="K167" s="8"/>
      <c r="L167" s="8"/>
    </row>
    <row r="168">
      <c r="A168" s="146"/>
      <c r="B168" s="50"/>
      <c r="C168" s="8"/>
      <c r="E168" s="8"/>
      <c r="F168" s="8"/>
      <c r="G168" s="8"/>
      <c r="H168" s="8"/>
      <c r="I168" s="8"/>
      <c r="J168" s="8"/>
      <c r="K168" s="8"/>
      <c r="L168" s="8"/>
    </row>
    <row r="169">
      <c r="A169" s="146"/>
      <c r="B169" s="50"/>
      <c r="C169" s="8"/>
      <c r="E169" s="8"/>
      <c r="F169" s="8"/>
      <c r="G169" s="8"/>
      <c r="H169" s="8"/>
      <c r="I169" s="8"/>
      <c r="J169" s="8"/>
      <c r="K169" s="8"/>
      <c r="L169" s="8"/>
    </row>
    <row r="170">
      <c r="A170" s="146"/>
      <c r="B170" s="50"/>
      <c r="C170" s="8"/>
      <c r="E170" s="8"/>
      <c r="F170" s="8"/>
      <c r="G170" s="8"/>
      <c r="H170" s="8"/>
      <c r="I170" s="8"/>
      <c r="J170" s="8"/>
      <c r="K170" s="8"/>
      <c r="L170" s="8"/>
    </row>
    <row r="171">
      <c r="A171" s="146"/>
      <c r="B171" s="50"/>
      <c r="C171" s="8"/>
      <c r="E171" s="8"/>
      <c r="F171" s="8"/>
      <c r="G171" s="8"/>
      <c r="H171" s="8"/>
      <c r="I171" s="8"/>
      <c r="J171" s="8"/>
      <c r="K171" s="8"/>
      <c r="L171" s="8"/>
    </row>
    <row r="172">
      <c r="A172" s="146"/>
      <c r="B172" s="50"/>
      <c r="C172" s="8"/>
      <c r="E172" s="8"/>
      <c r="F172" s="8"/>
      <c r="G172" s="8"/>
      <c r="H172" s="8"/>
      <c r="I172" s="8"/>
      <c r="J172" s="8"/>
      <c r="K172" s="8"/>
      <c r="L172" s="8"/>
    </row>
    <row r="173">
      <c r="A173" s="146"/>
      <c r="B173" s="50"/>
      <c r="C173" s="8"/>
      <c r="E173" s="8"/>
      <c r="F173" s="8"/>
      <c r="G173" s="8"/>
      <c r="H173" s="8"/>
      <c r="I173" s="8"/>
      <c r="J173" s="8"/>
      <c r="K173" s="8"/>
      <c r="L173" s="8"/>
    </row>
    <row r="174">
      <c r="A174" s="146"/>
      <c r="B174" s="50"/>
      <c r="C174" s="8"/>
      <c r="E174" s="8"/>
      <c r="F174" s="8"/>
      <c r="G174" s="8"/>
      <c r="H174" s="8"/>
      <c r="I174" s="8"/>
      <c r="J174" s="8"/>
      <c r="K174" s="8"/>
      <c r="L174" s="8"/>
    </row>
    <row r="175">
      <c r="A175" s="146"/>
      <c r="B175" s="50"/>
      <c r="C175" s="8"/>
      <c r="E175" s="8"/>
      <c r="F175" s="8"/>
      <c r="G175" s="8"/>
      <c r="H175" s="8"/>
      <c r="I175" s="8"/>
      <c r="J175" s="8"/>
      <c r="K175" s="8"/>
      <c r="L175" s="8"/>
    </row>
    <row r="176">
      <c r="A176" s="146"/>
      <c r="B176" s="50"/>
      <c r="C176" s="8"/>
      <c r="E176" s="8"/>
      <c r="F176" s="8"/>
      <c r="G176" s="8"/>
      <c r="H176" s="8"/>
      <c r="I176" s="8"/>
      <c r="J176" s="8"/>
      <c r="K176" s="8"/>
      <c r="L176" s="8"/>
    </row>
    <row r="177">
      <c r="A177" s="146"/>
      <c r="B177" s="50"/>
      <c r="C177" s="8"/>
      <c r="E177" s="8"/>
      <c r="F177" s="8"/>
      <c r="G177" s="8"/>
      <c r="H177" s="8"/>
      <c r="I177" s="8"/>
      <c r="J177" s="8"/>
      <c r="K177" s="8"/>
      <c r="L177" s="8"/>
    </row>
    <row r="178">
      <c r="A178" s="146"/>
      <c r="B178" s="50"/>
      <c r="C178" s="8"/>
      <c r="E178" s="8"/>
      <c r="F178" s="8"/>
      <c r="G178" s="8"/>
      <c r="H178" s="8"/>
      <c r="I178" s="8"/>
      <c r="J178" s="8"/>
      <c r="K178" s="8"/>
      <c r="L178" s="8"/>
    </row>
    <row r="179">
      <c r="A179" s="146"/>
      <c r="B179" s="50"/>
      <c r="C179" s="8"/>
      <c r="E179" s="8"/>
      <c r="F179" s="8"/>
      <c r="G179" s="8"/>
      <c r="H179" s="8"/>
      <c r="I179" s="8"/>
      <c r="J179" s="8"/>
      <c r="K179" s="8"/>
      <c r="L179" s="8"/>
    </row>
    <row r="180">
      <c r="A180" s="146"/>
      <c r="B180" s="50"/>
      <c r="C180" s="8"/>
      <c r="E180" s="8"/>
      <c r="F180" s="8"/>
      <c r="G180" s="8"/>
      <c r="H180" s="8"/>
      <c r="I180" s="8"/>
      <c r="J180" s="8"/>
      <c r="K180" s="8"/>
      <c r="L180" s="8"/>
    </row>
  </sheetData>
  <mergeCells count="6">
    <mergeCell ref="A1:L1"/>
    <mergeCell ref="A2:L2"/>
    <mergeCell ref="A3:L3"/>
    <mergeCell ref="A4:L4"/>
    <mergeCell ref="J23:K23"/>
    <mergeCell ref="A59:B59"/>
  </mergeCells>
  <conditionalFormatting sqref="D58">
    <cfRule type="cellIs" dxfId="0" priority="1" operator="equal">
      <formula>"Yes"</formula>
    </cfRule>
  </conditionalFormatting>
  <conditionalFormatting sqref="D58">
    <cfRule type="cellIs" dxfId="1" priority="2" operator="equal">
      <formula>"No"</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3" max="3" width="14.75"/>
    <col customWidth="1" min="6" max="6" width="16.75"/>
    <col customWidth="1" min="7" max="7" width="18.63"/>
    <col customWidth="1" min="8" max="8" width="14.88"/>
    <col customWidth="1" min="9" max="9" width="15.0"/>
    <col customWidth="1" min="10" max="10" width="17.88"/>
    <col customWidth="1" min="11" max="11" width="15.13"/>
  </cols>
  <sheetData>
    <row r="1">
      <c r="A1" s="1" t="s">
        <v>1158</v>
      </c>
    </row>
    <row r="2">
      <c r="A2" s="2" t="s">
        <v>1159</v>
      </c>
    </row>
    <row r="3">
      <c r="A3" s="3" t="s">
        <v>1160</v>
      </c>
    </row>
    <row r="4">
      <c r="A4" s="3" t="s">
        <v>445</v>
      </c>
    </row>
    <row r="5">
      <c r="A5" s="4"/>
      <c r="B5" s="4"/>
      <c r="C5" s="4"/>
      <c r="D5" s="4"/>
      <c r="E5" s="4"/>
      <c r="F5" s="4"/>
      <c r="G5" s="4"/>
      <c r="H5" s="4"/>
      <c r="I5" s="4"/>
      <c r="J5" s="5"/>
      <c r="K5" s="5"/>
      <c r="L5" s="5"/>
    </row>
    <row r="6">
      <c r="A6" s="6" t="s">
        <v>4</v>
      </c>
    </row>
    <row r="7">
      <c r="A7" s="7" t="s">
        <v>1161</v>
      </c>
      <c r="B7" s="7"/>
      <c r="C7" s="7"/>
      <c r="D7" s="7"/>
      <c r="E7" s="7"/>
      <c r="F7" s="7"/>
      <c r="G7" s="7"/>
      <c r="H7" s="7"/>
      <c r="I7" s="7"/>
      <c r="J7" s="7"/>
      <c r="K7" s="7"/>
      <c r="L7" s="7"/>
    </row>
    <row r="8">
      <c r="A8" s="8" t="s">
        <v>6</v>
      </c>
    </row>
    <row r="9">
      <c r="A9" s="8" t="s">
        <v>7</v>
      </c>
    </row>
    <row r="10">
      <c r="A10" s="8" t="s">
        <v>447</v>
      </c>
    </row>
    <row r="11">
      <c r="A11" s="8" t="s">
        <v>8</v>
      </c>
    </row>
    <row r="12">
      <c r="A12" s="8" t="s">
        <v>9</v>
      </c>
    </row>
    <row r="15">
      <c r="A15" s="9" t="s">
        <v>10</v>
      </c>
      <c r="B15" s="10" t="s">
        <v>11</v>
      </c>
      <c r="C15" s="10" t="s">
        <v>12</v>
      </c>
      <c r="D15" s="10" t="s">
        <v>13</v>
      </c>
      <c r="F15" s="11" t="s">
        <v>14</v>
      </c>
      <c r="G15" s="11" t="s">
        <v>15</v>
      </c>
      <c r="H15" s="11" t="s">
        <v>16</v>
      </c>
      <c r="J15" s="11" t="s">
        <v>17</v>
      </c>
      <c r="K15" s="11" t="s">
        <v>18</v>
      </c>
      <c r="L15" s="11" t="s">
        <v>19</v>
      </c>
      <c r="N15" s="8"/>
      <c r="O15" s="8"/>
    </row>
    <row r="16">
      <c r="A16" s="147" t="s">
        <v>123</v>
      </c>
      <c r="B16" s="25" t="s">
        <v>1162</v>
      </c>
      <c r="C16" s="62" t="s">
        <v>51</v>
      </c>
      <c r="D16" s="24">
        <v>101.0</v>
      </c>
      <c r="E16" s="8"/>
      <c r="F16" s="16" t="s">
        <v>402</v>
      </c>
      <c r="G16" s="88">
        <v>26.0</v>
      </c>
      <c r="H16" s="8" t="s">
        <v>450</v>
      </c>
      <c r="J16" s="8" t="s">
        <v>23</v>
      </c>
      <c r="K16" s="19">
        <v>0.45</v>
      </c>
      <c r="L16" s="8">
        <f t="shared" ref="L16:L20" si="1">K16*$D$53</f>
        <v>400.95</v>
      </c>
      <c r="M16" s="8" t="s">
        <v>824</v>
      </c>
      <c r="N16" s="8">
        <f>L16+L18</f>
        <v>534.6</v>
      </c>
      <c r="O16" s="113"/>
    </row>
    <row r="17">
      <c r="A17" s="147" t="s">
        <v>27</v>
      </c>
      <c r="B17" s="22">
        <v>42614.0</v>
      </c>
      <c r="C17" s="62" t="s">
        <v>451</v>
      </c>
      <c r="D17" s="24">
        <v>75.0</v>
      </c>
      <c r="E17" s="8"/>
      <c r="F17" s="16" t="s">
        <v>393</v>
      </c>
      <c r="G17" s="88">
        <v>43.0</v>
      </c>
      <c r="H17" s="8" t="s">
        <v>450</v>
      </c>
      <c r="I17" s="8"/>
      <c r="J17" s="8" t="s">
        <v>26</v>
      </c>
      <c r="K17" s="19">
        <v>0.25</v>
      </c>
      <c r="L17" s="8">
        <f t="shared" si="1"/>
        <v>222.75</v>
      </c>
      <c r="M17" s="8" t="s">
        <v>1163</v>
      </c>
      <c r="N17" s="8">
        <f>L17/2</f>
        <v>111.375</v>
      </c>
      <c r="O17" s="113"/>
    </row>
    <row r="18">
      <c r="A18" s="147" t="s">
        <v>93</v>
      </c>
      <c r="B18" s="22">
        <v>42644.0</v>
      </c>
      <c r="C18" s="62" t="s">
        <v>51</v>
      </c>
      <c r="D18" s="24">
        <v>58.0</v>
      </c>
      <c r="E18" s="8"/>
      <c r="F18" s="16" t="s">
        <v>392</v>
      </c>
      <c r="G18" s="88">
        <f>D28+D33+D34+D50</f>
        <v>57</v>
      </c>
      <c r="H18" s="8" t="s">
        <v>450</v>
      </c>
      <c r="I18" s="8"/>
      <c r="J18" s="8" t="s">
        <v>29</v>
      </c>
      <c r="K18" s="19">
        <v>0.15</v>
      </c>
      <c r="L18" s="8">
        <f t="shared" si="1"/>
        <v>133.65</v>
      </c>
      <c r="M18" s="8" t="s">
        <v>824</v>
      </c>
      <c r="N18" s="8"/>
      <c r="O18" s="113"/>
    </row>
    <row r="19">
      <c r="A19" s="147" t="s">
        <v>67</v>
      </c>
      <c r="B19" s="25" t="s">
        <v>169</v>
      </c>
      <c r="C19" s="62" t="s">
        <v>41</v>
      </c>
      <c r="D19" s="24">
        <v>40.0</v>
      </c>
      <c r="E19" s="8"/>
      <c r="F19" s="16" t="s">
        <v>388</v>
      </c>
      <c r="G19" s="88">
        <v>0.0</v>
      </c>
      <c r="H19" s="8" t="s">
        <v>22</v>
      </c>
      <c r="I19" s="8"/>
      <c r="J19" s="8" t="s">
        <v>32</v>
      </c>
      <c r="K19" s="19">
        <v>0.1</v>
      </c>
      <c r="L19" s="8">
        <f t="shared" si="1"/>
        <v>89.1</v>
      </c>
      <c r="M19" s="8"/>
      <c r="N19" s="8"/>
      <c r="O19" s="113"/>
    </row>
    <row r="20">
      <c r="A20" s="147" t="s">
        <v>369</v>
      </c>
      <c r="B20" s="25" t="s">
        <v>34</v>
      </c>
      <c r="C20" s="62" t="s">
        <v>41</v>
      </c>
      <c r="D20" s="24">
        <v>27.0</v>
      </c>
      <c r="F20" s="16" t="s">
        <v>405</v>
      </c>
      <c r="G20" s="88">
        <v>6.0</v>
      </c>
      <c r="H20" s="8" t="s">
        <v>450</v>
      </c>
      <c r="I20" s="8"/>
      <c r="J20" s="8" t="s">
        <v>36</v>
      </c>
      <c r="K20" s="19">
        <v>0.05</v>
      </c>
      <c r="L20" s="8">
        <f t="shared" si="1"/>
        <v>44.55</v>
      </c>
      <c r="M20" s="8"/>
      <c r="N20" s="8"/>
      <c r="O20" s="113"/>
    </row>
    <row r="21">
      <c r="A21" s="147" t="s">
        <v>186</v>
      </c>
      <c r="B21" s="25" t="s">
        <v>260</v>
      </c>
      <c r="C21" s="62" t="s">
        <v>31</v>
      </c>
      <c r="D21" s="24">
        <v>30.0</v>
      </c>
      <c r="F21" s="16" t="s">
        <v>404</v>
      </c>
      <c r="G21" s="88">
        <f>D16+D17+D18-29+D37+D44+D45</f>
        <v>230</v>
      </c>
      <c r="H21" s="8" t="s">
        <v>450</v>
      </c>
      <c r="I21" s="8"/>
      <c r="J21" s="8"/>
      <c r="K21" s="8"/>
      <c r="L21" s="8"/>
      <c r="M21" s="8"/>
      <c r="N21" s="8"/>
      <c r="O21" s="113"/>
    </row>
    <row r="22">
      <c r="A22" s="147" t="s">
        <v>131</v>
      </c>
      <c r="B22" s="25" t="s">
        <v>261</v>
      </c>
      <c r="C22" s="62" t="s">
        <v>63</v>
      </c>
      <c r="D22" s="24">
        <v>32.0</v>
      </c>
      <c r="E22" s="8"/>
      <c r="F22" s="16" t="s">
        <v>401</v>
      </c>
      <c r="G22" s="88">
        <f>D19+D20+D38-8.5+D41-4.5+D51</f>
        <v>83</v>
      </c>
      <c r="H22" s="8" t="s">
        <v>450</v>
      </c>
      <c r="I22" s="8"/>
      <c r="J22" s="8"/>
      <c r="K22" s="8"/>
      <c r="L22" s="8"/>
      <c r="M22" s="8">
        <f>(L19+L20)/3</f>
        <v>44.55</v>
      </c>
      <c r="N22" s="8"/>
      <c r="O22" s="8"/>
    </row>
    <row r="23">
      <c r="A23" s="147" t="s">
        <v>52</v>
      </c>
      <c r="B23" s="25" t="s">
        <v>50</v>
      </c>
      <c r="C23" s="62" t="s">
        <v>25</v>
      </c>
      <c r="D23" s="24">
        <v>25.0</v>
      </c>
      <c r="E23" s="8"/>
      <c r="F23" s="16" t="s">
        <v>385</v>
      </c>
      <c r="G23" s="88">
        <f>D24+D26+D31+D35+D40</f>
        <v>101</v>
      </c>
      <c r="H23" s="8" t="s">
        <v>450</v>
      </c>
      <c r="I23" s="8"/>
      <c r="J23" s="26" t="s">
        <v>45</v>
      </c>
      <c r="K23" s="27"/>
      <c r="L23" s="8"/>
      <c r="M23" s="8">
        <f>L18/3</f>
        <v>44.55</v>
      </c>
      <c r="N23" s="8"/>
      <c r="O23" s="8"/>
      <c r="P23" s="8"/>
      <c r="Q23" s="8"/>
    </row>
    <row r="24">
      <c r="A24" s="147" t="s">
        <v>80</v>
      </c>
      <c r="B24" s="25" t="s">
        <v>58</v>
      </c>
      <c r="C24" s="62" t="s">
        <v>607</v>
      </c>
      <c r="D24" s="24">
        <v>26.0</v>
      </c>
      <c r="F24" s="16" t="s">
        <v>61</v>
      </c>
      <c r="G24" s="88">
        <f>D43+D46+D52</f>
        <v>138</v>
      </c>
      <c r="H24" s="8" t="s">
        <v>450</v>
      </c>
      <c r="I24" s="8"/>
      <c r="J24" s="66">
        <v>1.0</v>
      </c>
      <c r="K24" s="66" t="s">
        <v>373</v>
      </c>
      <c r="L24" s="8"/>
      <c r="M24" s="8"/>
      <c r="N24" s="8"/>
      <c r="O24" s="8"/>
      <c r="P24" s="8"/>
      <c r="Q24" s="8"/>
    </row>
    <row r="25">
      <c r="A25" s="147" t="s">
        <v>144</v>
      </c>
      <c r="B25" s="25" t="s">
        <v>58</v>
      </c>
      <c r="C25" s="62" t="s">
        <v>395</v>
      </c>
      <c r="D25" s="24">
        <v>26.0</v>
      </c>
      <c r="E25" s="8"/>
      <c r="F25" s="16" t="s">
        <v>399</v>
      </c>
      <c r="G25" s="88">
        <f>D32</f>
        <v>17</v>
      </c>
      <c r="H25" s="8" t="s">
        <v>450</v>
      </c>
      <c r="I25" s="8"/>
      <c r="J25" s="73">
        <v>2.0</v>
      </c>
      <c r="K25" s="73" t="s">
        <v>93</v>
      </c>
      <c r="L25" s="8"/>
      <c r="M25" s="8"/>
      <c r="N25" s="8"/>
      <c r="O25" s="8"/>
      <c r="P25" s="8"/>
      <c r="Q25" s="8"/>
    </row>
    <row r="26">
      <c r="A26" s="147" t="s">
        <v>237</v>
      </c>
      <c r="B26" s="25" t="s">
        <v>176</v>
      </c>
      <c r="C26" s="62" t="s">
        <v>607</v>
      </c>
      <c r="D26" s="24">
        <v>26.0</v>
      </c>
      <c r="E26" s="8"/>
      <c r="F26" s="16" t="s">
        <v>389</v>
      </c>
      <c r="G26" s="88">
        <f>D23</f>
        <v>25</v>
      </c>
      <c r="H26" s="8" t="s">
        <v>450</v>
      </c>
      <c r="J26" s="66">
        <v>3.0</v>
      </c>
      <c r="K26" s="66" t="s">
        <v>1164</v>
      </c>
      <c r="L26" s="8"/>
      <c r="M26" s="8"/>
      <c r="N26" s="8"/>
      <c r="O26" s="8"/>
      <c r="P26" s="8"/>
      <c r="Q26" s="8"/>
    </row>
    <row r="27">
      <c r="A27" s="147" t="s">
        <v>356</v>
      </c>
      <c r="B27" s="25" t="s">
        <v>65</v>
      </c>
      <c r="C27" s="62" t="s">
        <v>63</v>
      </c>
      <c r="D27" s="24">
        <v>23.0</v>
      </c>
      <c r="E27" s="8"/>
      <c r="F27" s="16" t="s">
        <v>394</v>
      </c>
      <c r="G27" s="88">
        <f>D49</f>
        <v>5</v>
      </c>
      <c r="H27" s="8" t="s">
        <v>450</v>
      </c>
      <c r="J27" s="73" t="s">
        <v>264</v>
      </c>
      <c r="K27" s="73" t="s">
        <v>418</v>
      </c>
      <c r="L27" s="8"/>
      <c r="M27" s="8"/>
      <c r="N27" s="8"/>
      <c r="O27" s="8"/>
      <c r="P27" s="8"/>
      <c r="Q27" s="8"/>
    </row>
    <row r="28">
      <c r="A28" s="147" t="s">
        <v>60</v>
      </c>
      <c r="B28" s="25" t="s">
        <v>65</v>
      </c>
      <c r="C28" s="62" t="s">
        <v>28</v>
      </c>
      <c r="D28" s="24">
        <v>22.0</v>
      </c>
      <c r="E28" s="8"/>
      <c r="F28" s="16" t="s">
        <v>406</v>
      </c>
      <c r="G28" s="8">
        <v>0.0</v>
      </c>
      <c r="H28" s="8" t="s">
        <v>450</v>
      </c>
      <c r="I28" s="8"/>
      <c r="J28" s="66" t="s">
        <v>264</v>
      </c>
      <c r="K28" s="66" t="s">
        <v>57</v>
      </c>
      <c r="L28" s="8"/>
      <c r="M28" s="8"/>
      <c r="N28" s="8"/>
      <c r="O28" s="8"/>
      <c r="P28" s="8"/>
      <c r="Q28" s="8"/>
    </row>
    <row r="29">
      <c r="A29" s="147" t="s">
        <v>418</v>
      </c>
      <c r="B29" s="25" t="s">
        <v>72</v>
      </c>
      <c r="C29" s="62" t="s">
        <v>400</v>
      </c>
      <c r="D29" s="24">
        <v>21.0</v>
      </c>
      <c r="E29" s="8"/>
      <c r="F29" s="16" t="s">
        <v>63</v>
      </c>
      <c r="G29" s="148">
        <f>D22+D27+D30+29</f>
        <v>99</v>
      </c>
      <c r="H29" s="8" t="s">
        <v>450</v>
      </c>
      <c r="I29" s="8"/>
      <c r="J29" s="73" t="s">
        <v>264</v>
      </c>
      <c r="K29" s="73" t="s">
        <v>69</v>
      </c>
      <c r="L29" s="8"/>
      <c r="M29" s="8"/>
      <c r="N29" s="8"/>
      <c r="O29" s="8"/>
      <c r="P29" s="8"/>
      <c r="Q29" s="8"/>
    </row>
    <row r="30">
      <c r="A30" s="147" t="s">
        <v>415</v>
      </c>
      <c r="B30" s="25" t="s">
        <v>75</v>
      </c>
      <c r="C30" s="62" t="s">
        <v>63</v>
      </c>
      <c r="D30" s="24">
        <v>15.0</v>
      </c>
      <c r="E30" s="8"/>
      <c r="F30" s="16" t="s">
        <v>56</v>
      </c>
      <c r="G30" s="8">
        <v>0.0</v>
      </c>
      <c r="H30" s="8" t="s">
        <v>22</v>
      </c>
      <c r="I30" s="8"/>
      <c r="J30" s="60"/>
      <c r="K30" s="73"/>
      <c r="L30" s="8"/>
      <c r="M30" s="8"/>
      <c r="N30" s="8"/>
      <c r="O30" s="8"/>
    </row>
    <row r="31">
      <c r="A31" s="147" t="s">
        <v>147</v>
      </c>
      <c r="B31" s="25" t="s">
        <v>75</v>
      </c>
      <c r="C31" s="62" t="s">
        <v>607</v>
      </c>
      <c r="D31" s="24">
        <v>23.0</v>
      </c>
      <c r="E31" s="8"/>
      <c r="F31" s="16" t="s">
        <v>400</v>
      </c>
      <c r="G31" s="148">
        <f>D39+D29+D42+D47+D36</f>
        <v>61</v>
      </c>
      <c r="H31" s="8" t="s">
        <v>450</v>
      </c>
      <c r="I31" s="8"/>
      <c r="J31" s="8"/>
      <c r="K31" s="8"/>
      <c r="L31" s="8"/>
      <c r="M31" s="8"/>
      <c r="N31" s="8"/>
      <c r="O31" s="8"/>
    </row>
    <row r="32">
      <c r="A32" s="147" t="s">
        <v>69</v>
      </c>
      <c r="B32" s="25" t="s">
        <v>79</v>
      </c>
      <c r="C32" s="62" t="s">
        <v>449</v>
      </c>
      <c r="D32" s="24">
        <v>17.0</v>
      </c>
      <c r="E32" s="8"/>
      <c r="F32" s="34" t="s">
        <v>73</v>
      </c>
      <c r="G32" s="149">
        <f>sum(G16:G31)</f>
        <v>891</v>
      </c>
      <c r="H32" s="8"/>
      <c r="I32" s="8"/>
      <c r="J32" s="8"/>
      <c r="K32" s="8"/>
      <c r="L32" s="8"/>
      <c r="M32" s="8"/>
      <c r="N32" s="8"/>
      <c r="O32" s="8"/>
    </row>
    <row r="33">
      <c r="A33" s="147" t="s">
        <v>148</v>
      </c>
      <c r="B33" s="25" t="s">
        <v>79</v>
      </c>
      <c r="C33" s="62" t="s">
        <v>28</v>
      </c>
      <c r="D33" s="24">
        <v>19.0</v>
      </c>
      <c r="E33" s="8"/>
      <c r="F33" s="8"/>
      <c r="G33" s="8"/>
      <c r="H33" s="8"/>
      <c r="I33" s="8"/>
      <c r="J33" s="8"/>
      <c r="K33" s="8"/>
      <c r="L33" s="8"/>
      <c r="M33" s="8"/>
      <c r="N33" s="8"/>
      <c r="O33" s="8"/>
    </row>
    <row r="34">
      <c r="A34" s="147" t="s">
        <v>514</v>
      </c>
      <c r="B34" s="25" t="s">
        <v>79</v>
      </c>
      <c r="C34" s="62" t="s">
        <v>28</v>
      </c>
      <c r="D34" s="24">
        <v>12.0</v>
      </c>
      <c r="E34" s="8"/>
      <c r="F34" s="8"/>
      <c r="G34" s="8"/>
      <c r="H34" s="8"/>
      <c r="I34" s="8"/>
      <c r="J34" s="8"/>
      <c r="K34" s="8"/>
      <c r="L34" s="8"/>
      <c r="M34" s="8"/>
      <c r="N34" s="8"/>
      <c r="O34" s="8"/>
    </row>
    <row r="35">
      <c r="A35" s="147" t="s">
        <v>428</v>
      </c>
      <c r="B35" s="25" t="s">
        <v>79</v>
      </c>
      <c r="C35" s="62" t="s">
        <v>607</v>
      </c>
      <c r="D35" s="24">
        <v>14.0</v>
      </c>
      <c r="E35" s="8"/>
      <c r="F35" s="8"/>
      <c r="G35" s="8"/>
      <c r="H35" s="8"/>
      <c r="I35" s="8"/>
      <c r="J35" s="8"/>
      <c r="K35" s="8"/>
      <c r="L35" s="8"/>
      <c r="M35" s="8"/>
      <c r="N35" s="8"/>
      <c r="O35" s="8"/>
    </row>
    <row r="36">
      <c r="A36" s="147" t="s">
        <v>996</v>
      </c>
      <c r="B36" s="25" t="s">
        <v>81</v>
      </c>
      <c r="C36" s="62" t="s">
        <v>400</v>
      </c>
      <c r="D36" s="24">
        <v>19.0</v>
      </c>
      <c r="E36" s="8"/>
      <c r="F36" s="8"/>
      <c r="G36" s="8"/>
      <c r="H36" s="8"/>
      <c r="I36" s="8"/>
      <c r="J36" s="8"/>
      <c r="K36" s="8"/>
      <c r="L36" s="8"/>
      <c r="M36" s="8"/>
      <c r="N36" s="8"/>
      <c r="O36" s="8"/>
    </row>
    <row r="37">
      <c r="A37" s="147" t="s">
        <v>252</v>
      </c>
      <c r="B37" s="25" t="s">
        <v>85</v>
      </c>
      <c r="C37" s="62" t="s">
        <v>51</v>
      </c>
      <c r="D37" s="24">
        <v>14.0</v>
      </c>
      <c r="E37" s="8"/>
      <c r="F37" s="8"/>
      <c r="G37" s="8"/>
      <c r="H37" s="8"/>
      <c r="I37" s="8"/>
      <c r="J37" s="8"/>
      <c r="K37" s="8"/>
      <c r="L37" s="8"/>
      <c r="M37" s="8"/>
      <c r="N37" s="8"/>
      <c r="O37" s="8"/>
    </row>
    <row r="38">
      <c r="A38" s="147" t="s">
        <v>57</v>
      </c>
      <c r="B38" s="25" t="s">
        <v>85</v>
      </c>
      <c r="C38" s="62" t="s">
        <v>41</v>
      </c>
      <c r="D38" s="24">
        <v>17.0</v>
      </c>
      <c r="E38" s="8"/>
      <c r="F38" s="38" t="s">
        <v>402</v>
      </c>
      <c r="G38" s="38" t="s">
        <v>631</v>
      </c>
      <c r="H38" s="38" t="s">
        <v>392</v>
      </c>
      <c r="I38" s="38" t="s">
        <v>405</v>
      </c>
      <c r="J38" s="38" t="s">
        <v>404</v>
      </c>
      <c r="K38" s="8"/>
      <c r="L38" s="8"/>
      <c r="M38" s="8"/>
      <c r="N38" s="8"/>
      <c r="O38" s="8"/>
    </row>
    <row r="39">
      <c r="A39" s="147" t="s">
        <v>267</v>
      </c>
      <c r="B39" s="25" t="s">
        <v>85</v>
      </c>
      <c r="C39" s="62" t="s">
        <v>400</v>
      </c>
      <c r="D39" s="24">
        <v>10.0</v>
      </c>
      <c r="E39" s="8"/>
      <c r="F39" s="115" t="s">
        <v>144</v>
      </c>
      <c r="G39" s="115" t="s">
        <v>186</v>
      </c>
      <c r="H39" s="115" t="s">
        <v>60</v>
      </c>
      <c r="I39" s="115" t="s">
        <v>74</v>
      </c>
      <c r="J39" s="115" t="s">
        <v>123</v>
      </c>
      <c r="K39" s="8"/>
      <c r="L39" s="8"/>
      <c r="M39" s="8"/>
      <c r="N39" s="8"/>
      <c r="O39" s="8"/>
    </row>
    <row r="40">
      <c r="A40" s="147" t="s">
        <v>316</v>
      </c>
      <c r="B40" s="25" t="s">
        <v>92</v>
      </c>
      <c r="C40" s="62" t="s">
        <v>607</v>
      </c>
      <c r="D40" s="24">
        <v>12.0</v>
      </c>
      <c r="E40" s="8"/>
      <c r="F40" s="60"/>
      <c r="G40" s="115" t="s">
        <v>988</v>
      </c>
      <c r="H40" s="115" t="s">
        <v>148</v>
      </c>
      <c r="I40" s="60"/>
      <c r="J40" s="115" t="s">
        <v>1106</v>
      </c>
      <c r="K40" s="8"/>
      <c r="L40" s="8"/>
      <c r="M40" s="8"/>
      <c r="N40" s="8"/>
      <c r="O40" s="8"/>
    </row>
    <row r="41">
      <c r="A41" s="147" t="s">
        <v>483</v>
      </c>
      <c r="B41" s="25" t="s">
        <v>92</v>
      </c>
      <c r="C41" s="62" t="s">
        <v>41</v>
      </c>
      <c r="D41" s="24">
        <v>9.0</v>
      </c>
      <c r="E41" s="8"/>
      <c r="F41" s="60"/>
      <c r="G41" s="115" t="s">
        <v>1165</v>
      </c>
      <c r="H41" s="115" t="s">
        <v>514</v>
      </c>
      <c r="I41" s="60"/>
      <c r="J41" s="115" t="s">
        <v>252</v>
      </c>
      <c r="K41" s="8"/>
      <c r="L41" s="8"/>
      <c r="M41" s="8"/>
      <c r="N41" s="8"/>
      <c r="O41" s="8"/>
    </row>
    <row r="42">
      <c r="A42" s="147" t="s">
        <v>465</v>
      </c>
      <c r="B42" s="25" t="s">
        <v>95</v>
      </c>
      <c r="C42" s="62" t="s">
        <v>400</v>
      </c>
      <c r="D42" s="24">
        <v>6.0</v>
      </c>
      <c r="E42" s="8"/>
      <c r="F42" s="60"/>
      <c r="G42" s="60"/>
      <c r="H42" s="115" t="s">
        <v>494</v>
      </c>
      <c r="I42" s="60"/>
      <c r="J42" s="115" t="s">
        <v>476</v>
      </c>
      <c r="K42" s="8"/>
      <c r="L42" s="8"/>
      <c r="M42" s="8"/>
      <c r="N42" s="8"/>
      <c r="O42" s="8"/>
    </row>
    <row r="43">
      <c r="A43" s="147" t="s">
        <v>82</v>
      </c>
      <c r="B43" s="25" t="s">
        <v>95</v>
      </c>
      <c r="C43" s="62" t="s">
        <v>61</v>
      </c>
      <c r="D43" s="24">
        <v>8.0</v>
      </c>
      <c r="E43" s="8"/>
      <c r="F43" s="60"/>
      <c r="G43" s="60"/>
      <c r="H43" s="60"/>
      <c r="I43" s="60"/>
      <c r="J43" s="115" t="s">
        <v>310</v>
      </c>
      <c r="K43" s="8"/>
      <c r="L43" s="8"/>
      <c r="M43" s="8"/>
      <c r="N43" s="8"/>
      <c r="O43" s="8"/>
    </row>
    <row r="44">
      <c r="A44" s="147" t="s">
        <v>476</v>
      </c>
      <c r="B44" s="25" t="s">
        <v>95</v>
      </c>
      <c r="C44" s="62" t="s">
        <v>51</v>
      </c>
      <c r="D44" s="24">
        <v>6.0</v>
      </c>
      <c r="E44" s="8"/>
      <c r="F44" s="60"/>
      <c r="G44" s="60"/>
      <c r="H44" s="60"/>
      <c r="I44" s="60"/>
      <c r="J44" s="60"/>
      <c r="K44" s="8"/>
      <c r="L44" s="8"/>
      <c r="M44" s="8"/>
      <c r="N44" s="8"/>
      <c r="O44" s="8"/>
    </row>
    <row r="45">
      <c r="A45" s="147" t="s">
        <v>310</v>
      </c>
      <c r="B45" s="25" t="s">
        <v>95</v>
      </c>
      <c r="C45" s="62" t="s">
        <v>51</v>
      </c>
      <c r="D45" s="24">
        <v>5.0</v>
      </c>
      <c r="E45" s="8"/>
      <c r="F45" s="38" t="s">
        <v>401</v>
      </c>
      <c r="G45" s="38" t="s">
        <v>385</v>
      </c>
      <c r="H45" s="38" t="s">
        <v>63</v>
      </c>
      <c r="I45" s="38" t="s">
        <v>61</v>
      </c>
      <c r="J45" s="38" t="s">
        <v>406</v>
      </c>
      <c r="K45" s="8"/>
      <c r="L45" s="8"/>
      <c r="M45" s="8"/>
      <c r="N45" s="8"/>
      <c r="O45" s="8"/>
    </row>
    <row r="46">
      <c r="A46" s="147" t="s">
        <v>309</v>
      </c>
      <c r="B46" s="25" t="s">
        <v>95</v>
      </c>
      <c r="C46" s="62" t="s">
        <v>61</v>
      </c>
      <c r="D46" s="24">
        <v>6.0</v>
      </c>
      <c r="E46" s="8"/>
      <c r="F46" s="115" t="s">
        <v>67</v>
      </c>
      <c r="G46" s="115" t="s">
        <v>80</v>
      </c>
      <c r="H46" s="115" t="s">
        <v>1106</v>
      </c>
      <c r="I46" s="115" t="s">
        <v>103</v>
      </c>
      <c r="J46" s="115" t="s">
        <v>27</v>
      </c>
      <c r="K46" s="8"/>
      <c r="L46" s="8"/>
      <c r="M46" s="8"/>
      <c r="N46" s="8"/>
      <c r="O46" s="8"/>
    </row>
    <row r="47">
      <c r="A47" s="147" t="s">
        <v>463</v>
      </c>
      <c r="B47" s="25" t="s">
        <v>95</v>
      </c>
      <c r="C47" s="62" t="s">
        <v>400</v>
      </c>
      <c r="D47" s="24">
        <v>5.0</v>
      </c>
      <c r="E47" s="8"/>
      <c r="F47" s="115" t="s">
        <v>369</v>
      </c>
      <c r="G47" s="115" t="s">
        <v>237</v>
      </c>
      <c r="H47" s="115" t="s">
        <v>131</v>
      </c>
      <c r="I47" s="115" t="s">
        <v>82</v>
      </c>
      <c r="J47" s="60"/>
      <c r="K47" s="8"/>
      <c r="L47" s="8"/>
      <c r="M47" s="8"/>
      <c r="N47" s="8"/>
      <c r="O47" s="8"/>
    </row>
    <row r="48">
      <c r="A48" s="147" t="s">
        <v>74</v>
      </c>
      <c r="B48" s="25" t="s">
        <v>95</v>
      </c>
      <c r="C48" s="62" t="s">
        <v>1166</v>
      </c>
      <c r="D48" s="24">
        <v>6.0</v>
      </c>
      <c r="E48" s="8"/>
      <c r="F48" s="115" t="s">
        <v>988</v>
      </c>
      <c r="G48" s="115" t="s">
        <v>147</v>
      </c>
      <c r="H48" s="115" t="s">
        <v>356</v>
      </c>
      <c r="I48" s="115" t="s">
        <v>309</v>
      </c>
      <c r="J48" s="60"/>
      <c r="K48" s="8"/>
      <c r="L48" s="8"/>
      <c r="M48" s="8"/>
      <c r="N48" s="8"/>
      <c r="O48" s="8"/>
    </row>
    <row r="49">
      <c r="A49" s="147" t="s">
        <v>489</v>
      </c>
      <c r="B49" s="25" t="s">
        <v>182</v>
      </c>
      <c r="C49" s="62" t="s">
        <v>412</v>
      </c>
      <c r="D49" s="24">
        <v>5.0</v>
      </c>
      <c r="E49" s="8"/>
      <c r="F49" s="115" t="s">
        <v>1165</v>
      </c>
      <c r="G49" s="115" t="s">
        <v>428</v>
      </c>
      <c r="H49" s="115" t="s">
        <v>415</v>
      </c>
      <c r="I49" s="60"/>
      <c r="J49" s="60"/>
      <c r="K49" s="8"/>
      <c r="L49" s="8"/>
      <c r="M49" s="8"/>
      <c r="N49" s="8"/>
      <c r="O49" s="8"/>
    </row>
    <row r="50">
      <c r="A50" s="150" t="s">
        <v>494</v>
      </c>
      <c r="B50" s="25" t="s">
        <v>185</v>
      </c>
      <c r="C50" s="23" t="s">
        <v>28</v>
      </c>
      <c r="D50" s="24">
        <v>4.0</v>
      </c>
      <c r="E50" s="8"/>
      <c r="F50" s="115" t="s">
        <v>277</v>
      </c>
      <c r="G50" s="115" t="s">
        <v>316</v>
      </c>
      <c r="H50" s="60"/>
      <c r="I50" s="8"/>
      <c r="J50" s="8"/>
      <c r="K50" s="8"/>
      <c r="L50" s="8"/>
      <c r="M50" s="8"/>
      <c r="N50" s="8"/>
      <c r="O50" s="8"/>
    </row>
    <row r="51">
      <c r="A51" s="150" t="s">
        <v>277</v>
      </c>
      <c r="B51" s="61" t="s">
        <v>185</v>
      </c>
      <c r="C51" s="23" t="s">
        <v>41</v>
      </c>
      <c r="D51" s="24">
        <v>3.0</v>
      </c>
      <c r="E51" s="8"/>
      <c r="F51" s="8"/>
      <c r="G51" s="8"/>
      <c r="H51" s="8"/>
      <c r="I51" s="8"/>
      <c r="J51" s="8"/>
      <c r="K51" s="8"/>
      <c r="L51" s="8"/>
      <c r="M51" s="8"/>
      <c r="N51" s="8"/>
      <c r="O51" s="8"/>
    </row>
    <row r="52">
      <c r="A52" s="151" t="s">
        <v>1167</v>
      </c>
      <c r="B52" s="64"/>
      <c r="C52" s="65" t="s">
        <v>61</v>
      </c>
      <c r="D52" s="152">
        <v>124.0</v>
      </c>
      <c r="E52" s="8"/>
      <c r="G52" s="8"/>
      <c r="H52" s="8"/>
      <c r="I52" s="8"/>
      <c r="J52" s="8"/>
      <c r="K52" s="8"/>
      <c r="L52" s="8"/>
      <c r="M52" s="8"/>
      <c r="N52" s="8"/>
      <c r="O52" s="8"/>
    </row>
    <row r="53">
      <c r="A53" s="8"/>
      <c r="D53" s="88">
        <f>sum(D16:D52)</f>
        <v>891</v>
      </c>
      <c r="E53" s="8"/>
      <c r="F53" s="38" t="s">
        <v>400</v>
      </c>
      <c r="G53" s="38" t="s">
        <v>399</v>
      </c>
      <c r="H53" s="8"/>
      <c r="I53" s="8"/>
      <c r="J53" s="8"/>
      <c r="K53" s="8"/>
      <c r="L53" s="8"/>
      <c r="M53" s="8"/>
      <c r="N53" s="8"/>
      <c r="O53" s="8"/>
    </row>
    <row r="54">
      <c r="A54" s="16" t="s">
        <v>1168</v>
      </c>
      <c r="E54" s="8"/>
      <c r="F54" s="115" t="s">
        <v>418</v>
      </c>
      <c r="G54" s="115" t="s">
        <v>69</v>
      </c>
      <c r="H54" s="8"/>
      <c r="I54" s="8"/>
      <c r="J54" s="8"/>
      <c r="K54" s="8"/>
      <c r="L54" s="8"/>
      <c r="M54" s="8"/>
      <c r="N54" s="8"/>
      <c r="O54" s="8"/>
    </row>
    <row r="55">
      <c r="A55" s="8"/>
      <c r="C55" s="89" t="s">
        <v>106</v>
      </c>
      <c r="D55" s="90" t="str">
        <f>if(G32-D53=0,"No","Yes")</f>
        <v>No</v>
      </c>
      <c r="E55" s="8"/>
      <c r="F55" s="115" t="s">
        <v>996</v>
      </c>
      <c r="G55" s="8"/>
      <c r="H55" s="8"/>
      <c r="I55" s="8"/>
      <c r="J55" s="8"/>
      <c r="K55" s="8"/>
      <c r="L55" s="8"/>
      <c r="M55" s="8"/>
      <c r="N55" s="8"/>
      <c r="O55" s="8"/>
    </row>
    <row r="56">
      <c r="A56" s="8"/>
      <c r="E56" s="8"/>
      <c r="F56" s="115" t="s">
        <v>458</v>
      </c>
      <c r="G56" s="8"/>
      <c r="H56" s="8"/>
      <c r="I56" s="8"/>
      <c r="J56" s="8"/>
      <c r="K56" s="8"/>
      <c r="L56" s="8"/>
      <c r="M56" s="8"/>
      <c r="N56" s="8"/>
      <c r="O56" s="8"/>
    </row>
    <row r="57">
      <c r="A57" s="8"/>
      <c r="E57" s="8"/>
      <c r="F57" s="115" t="s">
        <v>465</v>
      </c>
      <c r="G57" s="8"/>
      <c r="H57" s="8"/>
      <c r="I57" s="8"/>
      <c r="J57" s="8"/>
      <c r="K57" s="8"/>
      <c r="L57" s="8"/>
      <c r="M57" s="8"/>
      <c r="N57" s="8"/>
      <c r="O57" s="8"/>
    </row>
    <row r="58">
      <c r="A58" s="60" t="s">
        <v>105</v>
      </c>
      <c r="E58" s="8"/>
      <c r="F58" s="115" t="s">
        <v>463</v>
      </c>
      <c r="G58" s="8"/>
      <c r="H58" s="8"/>
      <c r="I58" s="8"/>
      <c r="J58" s="8"/>
      <c r="K58" s="8"/>
      <c r="L58" s="8"/>
      <c r="M58" s="8"/>
      <c r="N58" s="8"/>
      <c r="O58" s="8"/>
    </row>
    <row r="59">
      <c r="A59" s="153" t="s">
        <v>1169</v>
      </c>
      <c r="B59" s="154" t="s">
        <v>108</v>
      </c>
      <c r="C59" s="8" t="s">
        <v>61</v>
      </c>
      <c r="E59" s="8"/>
      <c r="F59" s="8"/>
      <c r="G59" s="8"/>
      <c r="H59" s="8"/>
      <c r="I59" s="8"/>
      <c r="J59" s="8"/>
      <c r="K59" s="8"/>
      <c r="L59" s="8"/>
      <c r="M59" s="8"/>
      <c r="N59" s="8"/>
      <c r="O59" s="8"/>
    </row>
    <row r="60">
      <c r="A60" s="147" t="s">
        <v>189</v>
      </c>
      <c r="B60" s="25" t="s">
        <v>108</v>
      </c>
      <c r="C60" s="8" t="s">
        <v>61</v>
      </c>
      <c r="E60" s="8"/>
      <c r="F60" s="8"/>
      <c r="G60" s="8"/>
      <c r="H60" s="8"/>
      <c r="I60" s="8"/>
      <c r="J60" s="8"/>
      <c r="K60" s="8"/>
      <c r="L60" s="8"/>
      <c r="M60" s="8"/>
      <c r="N60" s="8"/>
      <c r="O60" s="8"/>
    </row>
    <row r="61">
      <c r="A61" s="147" t="s">
        <v>102</v>
      </c>
      <c r="B61" s="25" t="s">
        <v>108</v>
      </c>
      <c r="C61" s="8" t="s">
        <v>61</v>
      </c>
      <c r="E61" s="8"/>
      <c r="F61" s="8"/>
      <c r="G61" s="8"/>
      <c r="H61" s="8"/>
      <c r="I61" s="8"/>
      <c r="J61" s="8"/>
      <c r="K61" s="8"/>
      <c r="L61" s="8"/>
      <c r="M61" s="8"/>
      <c r="N61" s="8"/>
      <c r="O61" s="8"/>
    </row>
    <row r="62">
      <c r="A62" s="147" t="s">
        <v>244</v>
      </c>
      <c r="B62" s="25" t="s">
        <v>108</v>
      </c>
      <c r="C62" s="8" t="s">
        <v>61</v>
      </c>
      <c r="E62" s="8"/>
      <c r="F62" s="8"/>
      <c r="G62" s="8"/>
      <c r="H62" s="8"/>
      <c r="I62" s="8"/>
      <c r="J62" s="8"/>
      <c r="K62" s="8"/>
      <c r="L62" s="8"/>
      <c r="M62" s="8"/>
      <c r="N62" s="8"/>
      <c r="O62" s="8"/>
    </row>
    <row r="63">
      <c r="A63" s="147" t="s">
        <v>100</v>
      </c>
      <c r="B63" s="25" t="s">
        <v>108</v>
      </c>
      <c r="C63" s="8" t="s">
        <v>61</v>
      </c>
      <c r="E63" s="8"/>
      <c r="F63" s="8"/>
      <c r="G63" s="8"/>
      <c r="H63" s="8"/>
      <c r="I63" s="8"/>
      <c r="J63" s="8"/>
      <c r="K63" s="8"/>
      <c r="L63" s="8"/>
      <c r="M63" s="8"/>
      <c r="N63" s="8"/>
      <c r="O63" s="8"/>
    </row>
    <row r="64">
      <c r="A64" s="147" t="s">
        <v>373</v>
      </c>
      <c r="B64" s="25" t="s">
        <v>108</v>
      </c>
      <c r="C64" s="8" t="s">
        <v>61</v>
      </c>
      <c r="E64" s="8"/>
      <c r="F64" s="8"/>
      <c r="G64" s="8"/>
      <c r="H64" s="8"/>
      <c r="I64" s="8"/>
      <c r="J64" s="8"/>
      <c r="K64" s="8"/>
      <c r="L64" s="8"/>
      <c r="M64" s="8"/>
      <c r="N64" s="8"/>
      <c r="O64" s="8"/>
    </row>
    <row r="65">
      <c r="A65" s="147" t="s">
        <v>122</v>
      </c>
      <c r="B65" s="25" t="s">
        <v>108</v>
      </c>
      <c r="C65" s="8" t="s">
        <v>61</v>
      </c>
      <c r="E65" s="8"/>
      <c r="F65" s="8"/>
      <c r="G65" s="8"/>
      <c r="H65" s="8"/>
      <c r="I65" s="8"/>
      <c r="J65" s="8"/>
      <c r="K65" s="8"/>
      <c r="L65" s="8"/>
      <c r="M65" s="8"/>
      <c r="N65" s="8"/>
      <c r="O65" s="8"/>
    </row>
    <row r="66">
      <c r="A66" s="147" t="s">
        <v>492</v>
      </c>
      <c r="B66" s="25" t="s">
        <v>108</v>
      </c>
      <c r="C66" s="8" t="s">
        <v>61</v>
      </c>
      <c r="E66" s="8"/>
      <c r="F66" s="8"/>
      <c r="G66" s="8"/>
      <c r="H66" s="8"/>
      <c r="I66" s="8"/>
      <c r="J66" s="8"/>
      <c r="K66" s="8"/>
      <c r="L66" s="8"/>
      <c r="M66" s="8"/>
      <c r="N66" s="8"/>
      <c r="O66" s="8"/>
    </row>
    <row r="67">
      <c r="A67" s="147" t="s">
        <v>180</v>
      </c>
      <c r="B67" s="25" t="s">
        <v>108</v>
      </c>
      <c r="C67" s="8" t="s">
        <v>61</v>
      </c>
      <c r="E67" s="8"/>
      <c r="F67" s="8"/>
      <c r="G67" s="8"/>
      <c r="H67" s="8"/>
      <c r="I67" s="8"/>
      <c r="J67" s="8"/>
      <c r="K67" s="8"/>
      <c r="L67" s="8"/>
      <c r="M67" s="8"/>
      <c r="N67" s="8"/>
      <c r="O67" s="8"/>
    </row>
    <row r="68">
      <c r="A68" s="147" t="s">
        <v>312</v>
      </c>
      <c r="B68" s="25" t="s">
        <v>108</v>
      </c>
      <c r="C68" s="8" t="s">
        <v>61</v>
      </c>
      <c r="E68" s="8"/>
      <c r="F68" s="8"/>
      <c r="G68" s="8"/>
      <c r="H68" s="8"/>
      <c r="I68" s="8"/>
      <c r="J68" s="8"/>
      <c r="K68" s="8"/>
      <c r="L68" s="8"/>
      <c r="M68" s="8"/>
      <c r="N68" s="8"/>
      <c r="O68" s="8"/>
    </row>
    <row r="69">
      <c r="A69" s="147" t="s">
        <v>416</v>
      </c>
      <c r="B69" s="25" t="s">
        <v>111</v>
      </c>
      <c r="C69" s="8" t="s">
        <v>61</v>
      </c>
      <c r="E69" s="8"/>
      <c r="F69" s="8"/>
      <c r="G69" s="8"/>
      <c r="H69" s="8"/>
      <c r="I69" s="8"/>
      <c r="J69" s="8"/>
      <c r="K69" s="8"/>
      <c r="L69" s="8"/>
      <c r="M69" s="8"/>
      <c r="N69" s="8"/>
      <c r="O69" s="8"/>
    </row>
    <row r="70">
      <c r="A70" s="147" t="s">
        <v>1170</v>
      </c>
      <c r="B70" s="25" t="s">
        <v>111</v>
      </c>
      <c r="C70" s="8" t="s">
        <v>61</v>
      </c>
      <c r="E70" s="8"/>
      <c r="F70" s="8"/>
      <c r="G70" s="8"/>
      <c r="H70" s="8"/>
      <c r="I70" s="8"/>
      <c r="J70" s="8"/>
      <c r="K70" s="8"/>
      <c r="L70" s="8"/>
      <c r="M70" s="8"/>
      <c r="N70" s="8"/>
      <c r="O70" s="8"/>
    </row>
    <row r="71">
      <c r="A71" s="147" t="s">
        <v>1171</v>
      </c>
      <c r="B71" s="25" t="s">
        <v>111</v>
      </c>
      <c r="C71" s="8" t="s">
        <v>61</v>
      </c>
      <c r="E71" s="8"/>
      <c r="F71" s="8"/>
      <c r="G71" s="8"/>
      <c r="H71" s="8"/>
      <c r="I71" s="8"/>
      <c r="J71" s="8"/>
      <c r="K71" s="8"/>
      <c r="L71" s="8"/>
      <c r="M71" s="8"/>
      <c r="N71" s="8"/>
      <c r="O71" s="8"/>
    </row>
    <row r="72">
      <c r="A72" s="147" t="s">
        <v>513</v>
      </c>
      <c r="B72" s="25" t="s">
        <v>111</v>
      </c>
      <c r="C72" s="8" t="s">
        <v>61</v>
      </c>
      <c r="E72" s="8"/>
      <c r="F72" s="8"/>
      <c r="G72" s="8"/>
      <c r="H72" s="8"/>
      <c r="I72" s="8"/>
      <c r="J72" s="8"/>
      <c r="K72" s="8"/>
      <c r="L72" s="8"/>
      <c r="M72" s="8"/>
      <c r="N72" s="8"/>
      <c r="O72" s="8"/>
    </row>
    <row r="73">
      <c r="A73" s="147" t="s">
        <v>283</v>
      </c>
      <c r="B73" s="25" t="s">
        <v>111</v>
      </c>
      <c r="C73" s="8" t="s">
        <v>61</v>
      </c>
      <c r="E73" s="8"/>
      <c r="F73" s="8"/>
      <c r="G73" s="8"/>
      <c r="H73" s="8"/>
      <c r="I73" s="8"/>
      <c r="J73" s="8"/>
      <c r="K73" s="8"/>
      <c r="L73" s="8"/>
      <c r="M73" s="8"/>
      <c r="N73" s="8"/>
      <c r="O73" s="8"/>
    </row>
    <row r="74">
      <c r="A74" s="147" t="s">
        <v>279</v>
      </c>
      <c r="B74" s="25" t="s">
        <v>111</v>
      </c>
      <c r="C74" s="8" t="s">
        <v>61</v>
      </c>
      <c r="E74" s="8"/>
      <c r="F74" s="8"/>
      <c r="G74" s="8"/>
      <c r="H74" s="8"/>
      <c r="I74" s="8"/>
      <c r="J74" s="8"/>
      <c r="K74" s="8"/>
      <c r="L74" s="8"/>
      <c r="M74" s="8"/>
      <c r="N74" s="8"/>
      <c r="O74" s="8"/>
    </row>
    <row r="75">
      <c r="A75" s="147" t="s">
        <v>233</v>
      </c>
      <c r="B75" s="25" t="s">
        <v>111</v>
      </c>
      <c r="C75" s="8" t="s">
        <v>61</v>
      </c>
      <c r="E75" s="8"/>
      <c r="F75" s="8"/>
      <c r="G75" s="8"/>
      <c r="H75" s="8"/>
      <c r="I75" s="8"/>
      <c r="J75" s="8"/>
      <c r="K75" s="8"/>
      <c r="L75" s="8"/>
      <c r="M75" s="8"/>
      <c r="N75" s="8"/>
      <c r="O75" s="8"/>
    </row>
    <row r="76">
      <c r="A76" s="147" t="s">
        <v>327</v>
      </c>
      <c r="B76" s="25" t="s">
        <v>111</v>
      </c>
      <c r="C76" s="8" t="s">
        <v>61</v>
      </c>
      <c r="E76" s="8"/>
      <c r="F76" s="8"/>
      <c r="G76" s="8"/>
      <c r="H76" s="8"/>
      <c r="I76" s="8"/>
      <c r="J76" s="8"/>
      <c r="K76" s="8"/>
      <c r="L76" s="8"/>
      <c r="M76" s="8"/>
      <c r="N76" s="8"/>
      <c r="O76" s="8"/>
    </row>
    <row r="77">
      <c r="A77" s="147" t="s">
        <v>1172</v>
      </c>
      <c r="B77" s="25" t="s">
        <v>111</v>
      </c>
      <c r="C77" s="8" t="s">
        <v>61</v>
      </c>
      <c r="E77" s="8"/>
      <c r="F77" s="8"/>
      <c r="G77" s="8"/>
      <c r="H77" s="8"/>
      <c r="I77" s="8"/>
      <c r="J77" s="8"/>
      <c r="K77" s="8"/>
      <c r="L77" s="8"/>
      <c r="M77" s="8"/>
      <c r="N77" s="8"/>
      <c r="O77" s="8"/>
    </row>
    <row r="78">
      <c r="A78" s="147" t="s">
        <v>175</v>
      </c>
      <c r="B78" s="25" t="s">
        <v>111</v>
      </c>
      <c r="C78" s="8" t="s">
        <v>61</v>
      </c>
      <c r="E78" s="8"/>
      <c r="F78" s="8"/>
      <c r="G78" s="8"/>
      <c r="H78" s="8"/>
      <c r="I78" s="8"/>
      <c r="J78" s="8"/>
      <c r="K78" s="8"/>
      <c r="L78" s="8"/>
      <c r="M78" s="8"/>
      <c r="N78" s="8"/>
      <c r="O78" s="8"/>
    </row>
    <row r="79">
      <c r="A79" s="147" t="s">
        <v>464</v>
      </c>
      <c r="B79" s="25" t="s">
        <v>116</v>
      </c>
      <c r="C79" s="8" t="s">
        <v>61</v>
      </c>
      <c r="E79" s="8"/>
      <c r="F79" s="8"/>
      <c r="G79" s="8"/>
      <c r="H79" s="8"/>
      <c r="I79" s="8"/>
      <c r="J79" s="8"/>
      <c r="K79" s="8"/>
      <c r="L79" s="8"/>
      <c r="M79" s="8"/>
      <c r="N79" s="8"/>
      <c r="O79" s="8"/>
    </row>
    <row r="80">
      <c r="A80" s="147" t="s">
        <v>98</v>
      </c>
      <c r="B80" s="25" t="s">
        <v>116</v>
      </c>
      <c r="C80" s="8" t="s">
        <v>61</v>
      </c>
      <c r="E80" s="8"/>
      <c r="F80" s="8"/>
      <c r="G80" s="8"/>
      <c r="H80" s="8"/>
      <c r="I80" s="8"/>
      <c r="J80" s="8"/>
      <c r="K80" s="8"/>
      <c r="L80" s="8"/>
      <c r="M80" s="8"/>
      <c r="N80" s="8"/>
      <c r="O80" s="8"/>
    </row>
    <row r="81">
      <c r="A81" s="147" t="s">
        <v>117</v>
      </c>
      <c r="B81" s="25" t="s">
        <v>197</v>
      </c>
      <c r="C81" s="8" t="s">
        <v>61</v>
      </c>
      <c r="E81" s="8"/>
      <c r="F81" s="8"/>
      <c r="G81" s="8"/>
      <c r="H81" s="8"/>
      <c r="I81" s="8"/>
      <c r="J81" s="8"/>
      <c r="K81" s="8"/>
      <c r="L81" s="8"/>
      <c r="M81" s="8"/>
      <c r="N81" s="8"/>
      <c r="O81" s="8"/>
    </row>
    <row r="82">
      <c r="A82" s="147" t="s">
        <v>368</v>
      </c>
      <c r="B82" s="25" t="s">
        <v>197</v>
      </c>
      <c r="C82" s="8" t="s">
        <v>61</v>
      </c>
      <c r="E82" s="8"/>
      <c r="F82" s="8"/>
      <c r="G82" s="8"/>
      <c r="H82" s="8"/>
      <c r="I82" s="8"/>
      <c r="J82" s="8"/>
      <c r="K82" s="8"/>
      <c r="L82" s="8"/>
      <c r="M82" s="8"/>
      <c r="N82" s="8"/>
      <c r="O82" s="8"/>
    </row>
    <row r="83">
      <c r="A83" s="147" t="s">
        <v>469</v>
      </c>
      <c r="B83" s="25" t="s">
        <v>197</v>
      </c>
      <c r="C83" s="8" t="s">
        <v>61</v>
      </c>
      <c r="E83" s="8"/>
      <c r="F83" s="8"/>
      <c r="G83" s="8"/>
      <c r="H83" s="8"/>
      <c r="I83" s="8"/>
      <c r="J83" s="8"/>
      <c r="K83" s="8"/>
      <c r="L83" s="8"/>
      <c r="M83" s="8"/>
      <c r="N83" s="8"/>
      <c r="O83" s="8"/>
    </row>
    <row r="84">
      <c r="A84" s="147" t="s">
        <v>460</v>
      </c>
      <c r="B84" s="25" t="s">
        <v>197</v>
      </c>
      <c r="C84" s="8" t="s">
        <v>61</v>
      </c>
      <c r="E84" s="8"/>
      <c r="F84" s="8"/>
      <c r="G84" s="8"/>
      <c r="H84" s="8"/>
      <c r="I84" s="8"/>
      <c r="J84" s="8"/>
      <c r="K84" s="8"/>
      <c r="L84" s="8"/>
      <c r="M84" s="8"/>
      <c r="N84" s="8"/>
      <c r="O84" s="8"/>
    </row>
    <row r="85">
      <c r="A85" s="147" t="s">
        <v>209</v>
      </c>
      <c r="B85" s="25" t="s">
        <v>197</v>
      </c>
      <c r="C85" s="8" t="s">
        <v>61</v>
      </c>
      <c r="E85" s="8"/>
      <c r="F85" s="8"/>
      <c r="G85" s="8"/>
      <c r="H85" s="8"/>
      <c r="I85" s="8"/>
      <c r="J85" s="8"/>
      <c r="K85" s="8"/>
      <c r="L85" s="8"/>
      <c r="M85" s="8"/>
      <c r="N85" s="8"/>
      <c r="O85" s="8"/>
    </row>
    <row r="86">
      <c r="A86" s="147" t="s">
        <v>1173</v>
      </c>
      <c r="B86" s="25" t="s">
        <v>197</v>
      </c>
      <c r="C86" s="8" t="s">
        <v>61</v>
      </c>
      <c r="E86" s="8"/>
      <c r="F86" s="8"/>
      <c r="G86" s="8"/>
      <c r="H86" s="8"/>
      <c r="I86" s="8"/>
      <c r="J86" s="8"/>
      <c r="K86" s="8"/>
      <c r="L86" s="8"/>
      <c r="M86" s="8"/>
      <c r="N86" s="8"/>
      <c r="O86" s="8"/>
    </row>
    <row r="87">
      <c r="A87" s="147" t="s">
        <v>1174</v>
      </c>
      <c r="B87" s="25" t="s">
        <v>197</v>
      </c>
      <c r="C87" s="8" t="s">
        <v>61</v>
      </c>
      <c r="E87" s="8"/>
      <c r="F87" s="8"/>
      <c r="G87" s="8"/>
      <c r="H87" s="8"/>
      <c r="I87" s="8"/>
      <c r="J87" s="8"/>
      <c r="K87" s="8"/>
      <c r="L87" s="8"/>
      <c r="M87" s="8"/>
      <c r="N87" s="8"/>
      <c r="O87" s="8"/>
    </row>
    <row r="88">
      <c r="A88" s="147" t="s">
        <v>1175</v>
      </c>
      <c r="B88" s="25" t="s">
        <v>197</v>
      </c>
      <c r="C88" s="8" t="s">
        <v>61</v>
      </c>
      <c r="E88" s="8"/>
      <c r="F88" s="8"/>
      <c r="G88" s="8"/>
      <c r="H88" s="8"/>
      <c r="I88" s="8"/>
      <c r="J88" s="8"/>
      <c r="K88" s="8"/>
      <c r="L88" s="8"/>
      <c r="M88" s="8"/>
      <c r="N88" s="8"/>
      <c r="O88" s="8"/>
    </row>
    <row r="89">
      <c r="A89" s="147" t="s">
        <v>329</v>
      </c>
      <c r="B89" s="25" t="s">
        <v>197</v>
      </c>
      <c r="C89" s="8" t="s">
        <v>61</v>
      </c>
      <c r="E89" s="8"/>
      <c r="F89" s="8"/>
      <c r="G89" s="8"/>
      <c r="H89" s="8"/>
      <c r="I89" s="8"/>
      <c r="J89" s="8"/>
      <c r="K89" s="8"/>
      <c r="L89" s="8"/>
      <c r="M89" s="8"/>
      <c r="N89" s="8"/>
      <c r="O89" s="8"/>
    </row>
    <row r="90">
      <c r="A90" s="147" t="s">
        <v>477</v>
      </c>
      <c r="B90" s="25" t="s">
        <v>197</v>
      </c>
      <c r="C90" s="8" t="s">
        <v>61</v>
      </c>
      <c r="E90" s="8"/>
      <c r="F90" s="8"/>
      <c r="G90" s="8"/>
      <c r="H90" s="8"/>
      <c r="I90" s="8"/>
      <c r="J90" s="8"/>
      <c r="K90" s="8"/>
      <c r="L90" s="8"/>
      <c r="M90" s="8"/>
      <c r="N90" s="8"/>
      <c r="O90" s="8"/>
    </row>
    <row r="91">
      <c r="A91" s="147" t="s">
        <v>273</v>
      </c>
      <c r="B91" s="25" t="s">
        <v>197</v>
      </c>
      <c r="C91" s="8" t="s">
        <v>61</v>
      </c>
      <c r="E91" s="8"/>
      <c r="F91" s="8"/>
      <c r="G91" s="8"/>
      <c r="H91" s="8"/>
      <c r="I91" s="8"/>
      <c r="J91" s="8"/>
      <c r="K91" s="8"/>
      <c r="L91" s="8"/>
      <c r="M91" s="8"/>
      <c r="N91" s="8"/>
      <c r="O91" s="8"/>
    </row>
    <row r="92">
      <c r="A92" s="147" t="s">
        <v>1176</v>
      </c>
      <c r="B92" s="25" t="s">
        <v>197</v>
      </c>
      <c r="C92" s="8" t="s">
        <v>61</v>
      </c>
      <c r="E92" s="8"/>
      <c r="F92" s="8"/>
      <c r="G92" s="8"/>
      <c r="H92" s="8"/>
      <c r="I92" s="8"/>
      <c r="J92" s="8"/>
      <c r="K92" s="8"/>
      <c r="L92" s="8"/>
      <c r="M92" s="8"/>
      <c r="N92" s="8"/>
      <c r="O92" s="8"/>
    </row>
    <row r="93">
      <c r="A93" s="147" t="s">
        <v>76</v>
      </c>
      <c r="B93" s="25" t="s">
        <v>121</v>
      </c>
      <c r="C93" s="8" t="s">
        <v>61</v>
      </c>
      <c r="E93" s="8"/>
      <c r="F93" s="8"/>
      <c r="G93" s="8"/>
      <c r="H93" s="8"/>
      <c r="I93" s="8"/>
      <c r="J93" s="8"/>
      <c r="K93" s="8"/>
      <c r="L93" s="8"/>
      <c r="M93" s="8"/>
      <c r="N93" s="8"/>
      <c r="O93" s="8"/>
    </row>
    <row r="94">
      <c r="A94" s="147" t="s">
        <v>484</v>
      </c>
      <c r="B94" s="25" t="s">
        <v>127</v>
      </c>
      <c r="C94" s="8" t="s">
        <v>61</v>
      </c>
      <c r="E94" s="8"/>
      <c r="F94" s="8"/>
      <c r="G94" s="8"/>
      <c r="H94" s="8"/>
      <c r="I94" s="8"/>
      <c r="J94" s="8"/>
      <c r="K94" s="8"/>
      <c r="L94" s="8"/>
      <c r="M94" s="8"/>
      <c r="N94" s="8"/>
      <c r="O94" s="8"/>
    </row>
    <row r="95">
      <c r="A95" s="147" t="s">
        <v>468</v>
      </c>
      <c r="B95" s="25" t="s">
        <v>127</v>
      </c>
      <c r="C95" s="8" t="s">
        <v>61</v>
      </c>
      <c r="E95" s="8"/>
      <c r="F95" s="8"/>
      <c r="G95" s="8"/>
      <c r="H95" s="8"/>
      <c r="I95" s="8"/>
      <c r="J95" s="8"/>
      <c r="K95" s="8"/>
      <c r="L95" s="8"/>
      <c r="M95" s="8"/>
      <c r="N95" s="8"/>
      <c r="O95" s="8"/>
    </row>
    <row r="96">
      <c r="A96" s="147" t="s">
        <v>1177</v>
      </c>
      <c r="B96" s="25" t="s">
        <v>127</v>
      </c>
      <c r="C96" s="8" t="s">
        <v>61</v>
      </c>
      <c r="E96" s="8"/>
      <c r="F96" s="8"/>
      <c r="G96" s="8"/>
      <c r="H96" s="8"/>
      <c r="I96" s="8"/>
      <c r="J96" s="8"/>
      <c r="K96" s="8"/>
      <c r="L96" s="8"/>
      <c r="M96" s="8"/>
      <c r="N96" s="8"/>
      <c r="O96" s="8"/>
    </row>
    <row r="97">
      <c r="A97" s="147" t="s">
        <v>1178</v>
      </c>
      <c r="B97" s="25" t="s">
        <v>127</v>
      </c>
      <c r="C97" s="8" t="s">
        <v>61</v>
      </c>
      <c r="E97" s="8"/>
      <c r="F97" s="8"/>
      <c r="G97" s="8"/>
      <c r="H97" s="8"/>
      <c r="I97" s="8"/>
      <c r="J97" s="8"/>
      <c r="K97" s="8"/>
      <c r="L97" s="8"/>
      <c r="M97" s="8"/>
      <c r="N97" s="8"/>
      <c r="O97" s="8"/>
    </row>
    <row r="98">
      <c r="A98" s="147" t="s">
        <v>1179</v>
      </c>
      <c r="B98" s="25" t="s">
        <v>127</v>
      </c>
      <c r="C98" s="8" t="s">
        <v>61</v>
      </c>
      <c r="E98" s="8"/>
      <c r="F98" s="8"/>
      <c r="G98" s="8"/>
      <c r="H98" s="8"/>
      <c r="I98" s="8"/>
      <c r="J98" s="8"/>
      <c r="K98" s="8"/>
      <c r="L98" s="8"/>
      <c r="M98" s="8"/>
      <c r="N98" s="8"/>
      <c r="O98" s="8"/>
    </row>
    <row r="99">
      <c r="A99" s="147" t="s">
        <v>1180</v>
      </c>
      <c r="B99" s="25" t="s">
        <v>127</v>
      </c>
      <c r="C99" s="8" t="s">
        <v>61</v>
      </c>
      <c r="E99" s="8"/>
      <c r="F99" s="8"/>
      <c r="G99" s="8"/>
      <c r="H99" s="8"/>
      <c r="I99" s="8"/>
      <c r="J99" s="8"/>
      <c r="K99" s="8"/>
      <c r="L99" s="8"/>
      <c r="M99" s="8"/>
      <c r="N99" s="8"/>
      <c r="O99" s="8"/>
    </row>
    <row r="100">
      <c r="A100" s="147" t="s">
        <v>1164</v>
      </c>
      <c r="B100" s="25" t="s">
        <v>127</v>
      </c>
      <c r="C100" s="8" t="s">
        <v>61</v>
      </c>
      <c r="E100" s="8"/>
      <c r="F100" s="8"/>
      <c r="G100" s="8"/>
      <c r="H100" s="8"/>
      <c r="I100" s="8"/>
      <c r="J100" s="8"/>
      <c r="K100" s="8"/>
      <c r="L100" s="8"/>
      <c r="M100" s="8"/>
      <c r="N100" s="8"/>
      <c r="O100" s="8"/>
    </row>
    <row r="101">
      <c r="A101" s="147" t="s">
        <v>1181</v>
      </c>
      <c r="B101" s="25" t="s">
        <v>127</v>
      </c>
      <c r="C101" s="8" t="s">
        <v>61</v>
      </c>
      <c r="E101" s="8"/>
      <c r="F101" s="8"/>
      <c r="G101" s="8"/>
      <c r="H101" s="8"/>
      <c r="I101" s="8"/>
      <c r="J101" s="8"/>
      <c r="K101" s="8"/>
      <c r="L101" s="8"/>
      <c r="M101" s="8"/>
      <c r="N101" s="8"/>
      <c r="O101" s="8"/>
    </row>
    <row r="102">
      <c r="A102" s="147" t="s">
        <v>1182</v>
      </c>
      <c r="B102" s="25" t="s">
        <v>127</v>
      </c>
      <c r="C102" s="8" t="s">
        <v>61</v>
      </c>
      <c r="E102" s="8"/>
      <c r="F102" s="8"/>
      <c r="G102" s="8"/>
      <c r="H102" s="8"/>
      <c r="I102" s="8"/>
      <c r="J102" s="8"/>
      <c r="K102" s="8"/>
      <c r="L102" s="8"/>
      <c r="M102" s="8"/>
      <c r="N102" s="8"/>
      <c r="O102" s="8"/>
    </row>
    <row r="103">
      <c r="A103" s="147" t="s">
        <v>1183</v>
      </c>
      <c r="B103" s="25" t="s">
        <v>127</v>
      </c>
      <c r="C103" s="8" t="s">
        <v>61</v>
      </c>
      <c r="E103" s="8"/>
      <c r="F103" s="8"/>
      <c r="G103" s="8"/>
      <c r="H103" s="8"/>
      <c r="I103" s="8"/>
      <c r="J103" s="8"/>
      <c r="K103" s="8"/>
      <c r="L103" s="8"/>
      <c r="M103" s="8"/>
      <c r="N103" s="8"/>
      <c r="O103" s="8"/>
    </row>
    <row r="104">
      <c r="A104" s="147" t="s">
        <v>1184</v>
      </c>
      <c r="B104" s="25" t="s">
        <v>127</v>
      </c>
      <c r="C104" s="8" t="s">
        <v>61</v>
      </c>
      <c r="E104" s="8"/>
      <c r="F104" s="8"/>
      <c r="G104" s="8"/>
      <c r="H104" s="8"/>
      <c r="I104" s="8"/>
      <c r="J104" s="8"/>
      <c r="K104" s="8"/>
      <c r="L104" s="8"/>
      <c r="M104" s="8"/>
      <c r="N104" s="8"/>
      <c r="O104" s="8"/>
    </row>
    <row r="105">
      <c r="A105" s="147" t="s">
        <v>361</v>
      </c>
      <c r="B105" s="25" t="s">
        <v>127</v>
      </c>
      <c r="C105" s="8" t="s">
        <v>61</v>
      </c>
      <c r="E105" s="8"/>
      <c r="F105" s="8"/>
      <c r="G105" s="8"/>
      <c r="H105" s="8"/>
      <c r="I105" s="8"/>
      <c r="J105" s="8"/>
      <c r="K105" s="8"/>
      <c r="L105" s="8"/>
      <c r="M105" s="8"/>
      <c r="N105" s="8"/>
      <c r="O105" s="8"/>
    </row>
    <row r="106">
      <c r="A106" s="147" t="s">
        <v>524</v>
      </c>
      <c r="B106" s="25" t="s">
        <v>127</v>
      </c>
      <c r="C106" s="8" t="s">
        <v>61</v>
      </c>
      <c r="E106" s="8"/>
      <c r="F106" s="8"/>
      <c r="G106" s="8"/>
      <c r="H106" s="8"/>
      <c r="I106" s="8"/>
      <c r="J106" s="8"/>
      <c r="K106" s="8"/>
      <c r="L106" s="8"/>
      <c r="M106" s="8"/>
      <c r="N106" s="8"/>
      <c r="O106" s="8"/>
    </row>
    <row r="107">
      <c r="A107" s="147" t="s">
        <v>71</v>
      </c>
      <c r="B107" s="25" t="s">
        <v>127</v>
      </c>
      <c r="C107" s="8" t="s">
        <v>61</v>
      </c>
      <c r="E107" s="8"/>
      <c r="F107" s="8"/>
      <c r="G107" s="8"/>
      <c r="H107" s="8"/>
      <c r="I107" s="8"/>
      <c r="J107" s="8"/>
      <c r="K107" s="8"/>
      <c r="L107" s="8"/>
      <c r="M107" s="8"/>
      <c r="N107" s="8"/>
      <c r="O107" s="8"/>
    </row>
    <row r="108">
      <c r="A108" s="147" t="s">
        <v>1185</v>
      </c>
      <c r="B108" s="25" t="s">
        <v>127</v>
      </c>
      <c r="C108" s="8" t="s">
        <v>61</v>
      </c>
      <c r="E108" s="8"/>
      <c r="F108" s="8"/>
      <c r="G108" s="8"/>
      <c r="H108" s="8"/>
      <c r="I108" s="8"/>
      <c r="J108" s="8"/>
      <c r="K108" s="8"/>
      <c r="L108" s="8"/>
      <c r="M108" s="8"/>
      <c r="N108" s="8"/>
      <c r="O108" s="8"/>
    </row>
    <row r="109">
      <c r="A109" s="147" t="s">
        <v>1186</v>
      </c>
      <c r="B109" s="25" t="s">
        <v>203</v>
      </c>
      <c r="C109" s="8" t="s">
        <v>61</v>
      </c>
      <c r="E109" s="8"/>
      <c r="F109" s="8"/>
      <c r="G109" s="8"/>
      <c r="H109" s="8"/>
      <c r="I109" s="8"/>
      <c r="J109" s="8"/>
      <c r="K109" s="8"/>
      <c r="L109" s="8"/>
      <c r="M109" s="8"/>
      <c r="N109" s="8"/>
      <c r="O109" s="8"/>
    </row>
    <row r="110">
      <c r="A110" s="147" t="s">
        <v>1187</v>
      </c>
      <c r="B110" s="25" t="s">
        <v>203</v>
      </c>
      <c r="C110" s="8" t="s">
        <v>61</v>
      </c>
      <c r="E110" s="8"/>
      <c r="F110" s="8"/>
      <c r="G110" s="8"/>
      <c r="H110" s="8"/>
      <c r="I110" s="8"/>
      <c r="J110" s="8"/>
      <c r="K110" s="8"/>
      <c r="L110" s="8"/>
      <c r="M110" s="8"/>
      <c r="N110" s="8"/>
      <c r="O110" s="8"/>
    </row>
    <row r="111">
      <c r="A111" s="147" t="s">
        <v>509</v>
      </c>
      <c r="B111" s="25" t="s">
        <v>203</v>
      </c>
      <c r="C111" s="8" t="s">
        <v>61</v>
      </c>
      <c r="E111" s="8"/>
      <c r="F111" s="8"/>
      <c r="G111" s="8"/>
      <c r="H111" s="8"/>
      <c r="I111" s="8"/>
      <c r="J111" s="8"/>
      <c r="K111" s="8"/>
      <c r="L111" s="8"/>
      <c r="M111" s="8"/>
      <c r="N111" s="8"/>
      <c r="O111" s="8"/>
    </row>
    <row r="112">
      <c r="A112" s="147" t="s">
        <v>1188</v>
      </c>
      <c r="B112" s="25" t="s">
        <v>203</v>
      </c>
      <c r="C112" s="8" t="s">
        <v>61</v>
      </c>
      <c r="E112" s="8"/>
      <c r="F112" s="8"/>
      <c r="G112" s="8"/>
      <c r="H112" s="8"/>
      <c r="I112" s="8"/>
      <c r="J112" s="8"/>
      <c r="K112" s="8"/>
      <c r="L112" s="8"/>
      <c r="M112" s="8"/>
      <c r="N112" s="8"/>
      <c r="O112" s="8"/>
    </row>
    <row r="113">
      <c r="A113" s="147" t="s">
        <v>1189</v>
      </c>
      <c r="B113" s="25" t="s">
        <v>203</v>
      </c>
      <c r="C113" s="8" t="s">
        <v>61</v>
      </c>
      <c r="E113" s="8"/>
      <c r="F113" s="8"/>
      <c r="G113" s="8"/>
      <c r="H113" s="8"/>
      <c r="I113" s="8"/>
      <c r="J113" s="8"/>
      <c r="K113" s="8"/>
      <c r="L113" s="8"/>
      <c r="M113" s="8"/>
      <c r="N113" s="8"/>
      <c r="O113" s="8"/>
    </row>
    <row r="114">
      <c r="A114" s="147" t="s">
        <v>1190</v>
      </c>
      <c r="B114" s="25" t="s">
        <v>203</v>
      </c>
      <c r="C114" s="8" t="s">
        <v>61</v>
      </c>
      <c r="E114" s="8"/>
      <c r="F114" s="8"/>
      <c r="G114" s="8"/>
      <c r="H114" s="8"/>
      <c r="I114" s="8"/>
      <c r="J114" s="8"/>
      <c r="K114" s="8"/>
      <c r="L114" s="8"/>
      <c r="M114" s="8"/>
      <c r="N114" s="8"/>
      <c r="O114" s="8"/>
    </row>
    <row r="115">
      <c r="A115" s="147" t="s">
        <v>314</v>
      </c>
      <c r="B115" s="25" t="s">
        <v>203</v>
      </c>
      <c r="C115" s="8" t="s">
        <v>61</v>
      </c>
      <c r="E115" s="8"/>
      <c r="F115" s="8"/>
      <c r="G115" s="8"/>
      <c r="H115" s="8"/>
      <c r="I115" s="8"/>
      <c r="J115" s="8"/>
      <c r="K115" s="8"/>
      <c r="L115" s="8"/>
      <c r="M115" s="8"/>
      <c r="N115" s="8"/>
      <c r="O115" s="8"/>
    </row>
    <row r="116">
      <c r="A116" s="147" t="s">
        <v>275</v>
      </c>
      <c r="B116" s="25" t="s">
        <v>203</v>
      </c>
      <c r="C116" s="8" t="s">
        <v>61</v>
      </c>
      <c r="E116" s="8"/>
      <c r="F116" s="8"/>
      <c r="G116" s="8"/>
      <c r="H116" s="8"/>
      <c r="I116" s="8"/>
      <c r="J116" s="8"/>
      <c r="K116" s="8"/>
      <c r="L116" s="8"/>
      <c r="M116" s="8"/>
      <c r="N116" s="8"/>
      <c r="O116" s="8"/>
    </row>
    <row r="117">
      <c r="A117" s="147" t="s">
        <v>1191</v>
      </c>
      <c r="B117" s="25" t="s">
        <v>203</v>
      </c>
      <c r="C117" s="8" t="s">
        <v>61</v>
      </c>
      <c r="E117" s="8"/>
      <c r="F117" s="8"/>
      <c r="G117" s="8"/>
      <c r="H117" s="8"/>
      <c r="I117" s="8"/>
      <c r="J117" s="8"/>
      <c r="K117" s="8"/>
      <c r="L117" s="8"/>
      <c r="M117" s="8"/>
      <c r="N117" s="8"/>
      <c r="O117" s="8"/>
    </row>
    <row r="118">
      <c r="A118" s="147" t="s">
        <v>1192</v>
      </c>
      <c r="B118" s="25" t="s">
        <v>203</v>
      </c>
      <c r="C118" s="8" t="s">
        <v>61</v>
      </c>
      <c r="E118" s="8"/>
      <c r="F118" s="8"/>
      <c r="G118" s="8"/>
      <c r="H118" s="8"/>
      <c r="I118" s="8"/>
      <c r="J118" s="8"/>
      <c r="K118" s="8"/>
      <c r="L118" s="8"/>
      <c r="M118" s="8"/>
      <c r="N118" s="8"/>
      <c r="O118" s="8"/>
    </row>
    <row r="119">
      <c r="A119" s="147" t="s">
        <v>425</v>
      </c>
      <c r="B119" s="25" t="s">
        <v>203</v>
      </c>
      <c r="C119" s="8" t="s">
        <v>61</v>
      </c>
      <c r="E119" s="8"/>
      <c r="F119" s="8"/>
      <c r="G119" s="8"/>
      <c r="H119" s="8"/>
      <c r="I119" s="8"/>
      <c r="J119" s="8"/>
      <c r="K119" s="8"/>
      <c r="L119" s="8"/>
      <c r="M119" s="8"/>
      <c r="N119" s="8"/>
      <c r="O119" s="8"/>
    </row>
    <row r="120">
      <c r="A120" s="147" t="s">
        <v>1193</v>
      </c>
      <c r="B120" s="25" t="s">
        <v>203</v>
      </c>
      <c r="C120" s="8" t="s">
        <v>61</v>
      </c>
      <c r="E120" s="8"/>
      <c r="F120" s="8"/>
      <c r="G120" s="8"/>
      <c r="H120" s="8"/>
      <c r="I120" s="8"/>
      <c r="J120" s="8"/>
      <c r="K120" s="8"/>
      <c r="L120" s="8"/>
      <c r="M120" s="8"/>
      <c r="N120" s="8"/>
      <c r="O120" s="8"/>
    </row>
    <row r="121">
      <c r="A121" s="147" t="s">
        <v>224</v>
      </c>
      <c r="B121" s="25" t="s">
        <v>203</v>
      </c>
      <c r="C121" s="8" t="s">
        <v>61</v>
      </c>
      <c r="E121" s="8"/>
      <c r="F121" s="8"/>
      <c r="G121" s="8"/>
      <c r="H121" s="8"/>
      <c r="I121" s="8"/>
      <c r="J121" s="8"/>
      <c r="K121" s="8"/>
      <c r="L121" s="8"/>
      <c r="M121" s="8"/>
      <c r="N121" s="8"/>
      <c r="O121" s="8"/>
    </row>
    <row r="122">
      <c r="A122" s="147" t="s">
        <v>376</v>
      </c>
      <c r="B122" s="25" t="s">
        <v>203</v>
      </c>
      <c r="C122" s="8" t="s">
        <v>61</v>
      </c>
      <c r="E122" s="8"/>
      <c r="F122" s="8"/>
      <c r="G122" s="8"/>
      <c r="H122" s="8"/>
      <c r="I122" s="8"/>
      <c r="J122" s="8"/>
      <c r="K122" s="8"/>
      <c r="L122" s="8"/>
      <c r="M122" s="8"/>
      <c r="N122" s="8"/>
      <c r="O122" s="8"/>
    </row>
    <row r="123">
      <c r="A123" s="147" t="s">
        <v>466</v>
      </c>
      <c r="B123" s="25" t="s">
        <v>203</v>
      </c>
      <c r="C123" s="8" t="s">
        <v>61</v>
      </c>
      <c r="E123" s="8"/>
      <c r="F123" s="8"/>
      <c r="G123" s="8"/>
      <c r="H123" s="8"/>
      <c r="I123" s="8"/>
      <c r="J123" s="8"/>
      <c r="K123" s="8"/>
      <c r="L123" s="8"/>
      <c r="M123" s="8"/>
      <c r="N123" s="8"/>
      <c r="O123" s="8"/>
    </row>
    <row r="124">
      <c r="A124" s="147" t="s">
        <v>1194</v>
      </c>
      <c r="B124" s="25" t="s">
        <v>203</v>
      </c>
      <c r="C124" s="8" t="s">
        <v>61</v>
      </c>
      <c r="E124" s="8"/>
      <c r="F124" s="8"/>
      <c r="G124" s="8"/>
      <c r="H124" s="8"/>
      <c r="I124" s="8"/>
      <c r="J124" s="8"/>
      <c r="K124" s="8"/>
      <c r="L124" s="8"/>
      <c r="M124" s="8"/>
      <c r="N124" s="8"/>
      <c r="O124" s="8"/>
    </row>
    <row r="125">
      <c r="A125" s="147" t="s">
        <v>1195</v>
      </c>
      <c r="B125" s="25" t="s">
        <v>203</v>
      </c>
      <c r="C125" s="8" t="s">
        <v>61</v>
      </c>
      <c r="E125" s="8"/>
      <c r="F125" s="8"/>
      <c r="G125" s="8"/>
      <c r="H125" s="8"/>
      <c r="I125" s="8"/>
      <c r="J125" s="8"/>
      <c r="K125" s="8"/>
      <c r="L125" s="8"/>
      <c r="M125" s="8"/>
      <c r="N125" s="8"/>
      <c r="O125" s="8"/>
    </row>
    <row r="126">
      <c r="A126" s="147" t="s">
        <v>240</v>
      </c>
      <c r="B126" s="25" t="s">
        <v>203</v>
      </c>
      <c r="C126" s="8" t="s">
        <v>61</v>
      </c>
      <c r="E126" s="8"/>
      <c r="F126" s="8"/>
      <c r="G126" s="8"/>
      <c r="H126" s="8"/>
      <c r="I126" s="8"/>
      <c r="J126" s="8"/>
      <c r="K126" s="8"/>
      <c r="L126" s="8"/>
      <c r="M126" s="8"/>
      <c r="N126" s="8"/>
      <c r="O126" s="8"/>
    </row>
    <row r="127">
      <c r="A127" s="147" t="s">
        <v>1196</v>
      </c>
      <c r="B127" s="25" t="s">
        <v>203</v>
      </c>
      <c r="C127" s="8" t="s">
        <v>61</v>
      </c>
      <c r="E127" s="8"/>
      <c r="F127" s="8"/>
      <c r="G127" s="8"/>
      <c r="H127" s="8"/>
      <c r="I127" s="8"/>
      <c r="J127" s="8"/>
      <c r="K127" s="8"/>
      <c r="L127" s="8"/>
      <c r="M127" s="8"/>
      <c r="N127" s="8"/>
      <c r="O127" s="8"/>
    </row>
    <row r="128">
      <c r="A128" s="147" t="s">
        <v>1197</v>
      </c>
      <c r="B128" s="25" t="s">
        <v>136</v>
      </c>
      <c r="C128" s="8" t="s">
        <v>61</v>
      </c>
      <c r="E128" s="8"/>
      <c r="F128" s="8"/>
      <c r="G128" s="8"/>
      <c r="H128" s="8"/>
      <c r="I128" s="8"/>
      <c r="J128" s="8"/>
      <c r="K128" s="8"/>
      <c r="L128" s="8"/>
      <c r="M128" s="8"/>
      <c r="N128" s="8"/>
      <c r="O128" s="8"/>
    </row>
    <row r="129">
      <c r="A129" s="147" t="s">
        <v>1198</v>
      </c>
      <c r="B129" s="25" t="s">
        <v>136</v>
      </c>
      <c r="C129" s="8" t="s">
        <v>61</v>
      </c>
      <c r="E129" s="8"/>
      <c r="F129" s="8"/>
      <c r="G129" s="8"/>
      <c r="H129" s="8"/>
      <c r="I129" s="8"/>
      <c r="J129" s="8"/>
      <c r="K129" s="8"/>
      <c r="L129" s="8"/>
      <c r="M129" s="8"/>
      <c r="N129" s="8"/>
      <c r="O129" s="8"/>
    </row>
    <row r="130">
      <c r="A130" s="147" t="s">
        <v>1199</v>
      </c>
      <c r="B130" s="25" t="s">
        <v>136</v>
      </c>
      <c r="C130" s="8" t="s">
        <v>61</v>
      </c>
      <c r="E130" s="8"/>
      <c r="F130" s="8"/>
      <c r="G130" s="8"/>
      <c r="H130" s="8"/>
      <c r="I130" s="8"/>
      <c r="J130" s="8"/>
      <c r="K130" s="8"/>
      <c r="L130" s="8"/>
      <c r="M130" s="8"/>
      <c r="N130" s="8"/>
      <c r="O130" s="8"/>
    </row>
    <row r="131">
      <c r="A131" s="147" t="s">
        <v>1200</v>
      </c>
      <c r="B131" s="25" t="s">
        <v>210</v>
      </c>
      <c r="C131" s="8" t="s">
        <v>61</v>
      </c>
      <c r="E131" s="8"/>
      <c r="F131" s="8"/>
      <c r="G131" s="8"/>
      <c r="H131" s="8"/>
      <c r="I131" s="8"/>
      <c r="J131" s="8"/>
      <c r="K131" s="8"/>
      <c r="L131" s="8"/>
      <c r="M131" s="8"/>
      <c r="N131" s="8"/>
      <c r="O131" s="8"/>
    </row>
    <row r="132">
      <c r="A132" s="147" t="s">
        <v>1201</v>
      </c>
      <c r="B132" s="25" t="s">
        <v>210</v>
      </c>
      <c r="C132" s="8" t="s">
        <v>61</v>
      </c>
      <c r="E132" s="8"/>
      <c r="F132" s="8"/>
      <c r="G132" s="8"/>
      <c r="H132" s="8"/>
      <c r="I132" s="8"/>
      <c r="J132" s="8"/>
      <c r="K132" s="8"/>
      <c r="L132" s="8"/>
      <c r="M132" s="8"/>
      <c r="N132" s="8"/>
      <c r="O132" s="8"/>
    </row>
    <row r="133">
      <c r="A133" s="147" t="s">
        <v>485</v>
      </c>
      <c r="B133" s="25" t="s">
        <v>210</v>
      </c>
      <c r="C133" s="8" t="s">
        <v>61</v>
      </c>
      <c r="E133" s="8"/>
      <c r="F133" s="8"/>
      <c r="G133" s="8"/>
      <c r="H133" s="8"/>
      <c r="I133" s="8"/>
      <c r="J133" s="8"/>
      <c r="K133" s="8"/>
      <c r="L133" s="8"/>
      <c r="M133" s="8"/>
      <c r="N133" s="8"/>
      <c r="O133" s="8"/>
    </row>
    <row r="134">
      <c r="A134" s="147" t="s">
        <v>1202</v>
      </c>
      <c r="B134" s="25" t="s">
        <v>210</v>
      </c>
      <c r="C134" s="8" t="s">
        <v>61</v>
      </c>
      <c r="E134" s="8"/>
      <c r="F134" s="8"/>
      <c r="G134" s="8"/>
      <c r="H134" s="8"/>
      <c r="I134" s="8"/>
      <c r="J134" s="8"/>
      <c r="K134" s="8"/>
      <c r="L134" s="8"/>
      <c r="M134" s="8"/>
      <c r="N134" s="8"/>
      <c r="O134" s="8"/>
    </row>
    <row r="135">
      <c r="A135" s="147" t="s">
        <v>1203</v>
      </c>
      <c r="B135" s="25" t="s">
        <v>210</v>
      </c>
      <c r="C135" s="8" t="s">
        <v>61</v>
      </c>
      <c r="E135" s="8"/>
      <c r="F135" s="8"/>
      <c r="G135" s="8"/>
      <c r="H135" s="8"/>
      <c r="I135" s="8"/>
      <c r="J135" s="8"/>
      <c r="K135" s="8"/>
      <c r="L135" s="8"/>
      <c r="M135" s="8"/>
      <c r="N135" s="8"/>
      <c r="O135" s="8"/>
    </row>
    <row r="136">
      <c r="A136" s="147" t="s">
        <v>1204</v>
      </c>
      <c r="B136" s="25" t="s">
        <v>210</v>
      </c>
      <c r="C136" s="8" t="s">
        <v>61</v>
      </c>
      <c r="E136" s="8"/>
      <c r="F136" s="8"/>
      <c r="G136" s="8"/>
      <c r="H136" s="8"/>
      <c r="I136" s="8"/>
      <c r="J136" s="8"/>
      <c r="K136" s="8"/>
      <c r="L136" s="8"/>
      <c r="M136" s="8"/>
      <c r="N136" s="8"/>
      <c r="O136" s="8"/>
    </row>
    <row r="137">
      <c r="A137" s="147" t="s">
        <v>375</v>
      </c>
      <c r="B137" s="25" t="s">
        <v>210</v>
      </c>
      <c r="C137" s="8" t="s">
        <v>61</v>
      </c>
      <c r="E137" s="8"/>
      <c r="F137" s="8"/>
      <c r="G137" s="8"/>
      <c r="H137" s="8"/>
      <c r="I137" s="8"/>
      <c r="J137" s="8"/>
      <c r="K137" s="8"/>
      <c r="L137" s="8"/>
      <c r="M137" s="8"/>
      <c r="N137" s="8"/>
      <c r="O137" s="8"/>
    </row>
    <row r="138">
      <c r="A138" s="147" t="s">
        <v>1205</v>
      </c>
      <c r="B138" s="25" t="s">
        <v>210</v>
      </c>
      <c r="C138" s="8" t="s">
        <v>61</v>
      </c>
      <c r="E138" s="8"/>
      <c r="F138" s="8"/>
      <c r="G138" s="8"/>
      <c r="H138" s="8"/>
      <c r="I138" s="8"/>
      <c r="J138" s="8"/>
      <c r="K138" s="8"/>
      <c r="L138" s="8"/>
      <c r="M138" s="8"/>
      <c r="N138" s="8"/>
      <c r="O138" s="8"/>
    </row>
    <row r="139">
      <c r="A139" s="147" t="s">
        <v>154</v>
      </c>
      <c r="B139" s="25" t="s">
        <v>210</v>
      </c>
      <c r="C139" s="8" t="s">
        <v>61</v>
      </c>
      <c r="E139" s="8"/>
      <c r="F139" s="8"/>
      <c r="G139" s="8"/>
      <c r="H139" s="8"/>
      <c r="I139" s="8"/>
      <c r="J139" s="8"/>
      <c r="K139" s="8"/>
      <c r="L139" s="8"/>
      <c r="M139" s="8"/>
      <c r="N139" s="8"/>
      <c r="O139" s="8"/>
    </row>
    <row r="140">
      <c r="A140" s="147" t="s">
        <v>1206</v>
      </c>
      <c r="B140" s="25" t="s">
        <v>210</v>
      </c>
      <c r="C140" s="8" t="s">
        <v>61</v>
      </c>
      <c r="E140" s="8"/>
      <c r="F140" s="8"/>
      <c r="G140" s="8"/>
      <c r="H140" s="8"/>
      <c r="I140" s="8"/>
      <c r="J140" s="8"/>
      <c r="K140" s="8"/>
      <c r="L140" s="8"/>
      <c r="M140" s="8"/>
      <c r="N140" s="8"/>
      <c r="O140" s="8"/>
    </row>
    <row r="141">
      <c r="A141" s="147" t="s">
        <v>1207</v>
      </c>
      <c r="B141" s="25" t="s">
        <v>142</v>
      </c>
      <c r="C141" s="8" t="s">
        <v>61</v>
      </c>
      <c r="E141" s="8"/>
      <c r="F141" s="8"/>
      <c r="G141" s="8"/>
      <c r="H141" s="8"/>
      <c r="I141" s="8"/>
      <c r="J141" s="8"/>
      <c r="K141" s="8"/>
      <c r="L141" s="8"/>
      <c r="M141" s="8"/>
      <c r="N141" s="8"/>
      <c r="O141" s="8"/>
    </row>
    <row r="142">
      <c r="A142" s="147" t="s">
        <v>1208</v>
      </c>
      <c r="B142" s="25" t="s">
        <v>142</v>
      </c>
      <c r="C142" s="8" t="s">
        <v>61</v>
      </c>
      <c r="E142" s="8"/>
      <c r="F142" s="8"/>
      <c r="G142" s="8"/>
      <c r="H142" s="8"/>
      <c r="I142" s="8"/>
      <c r="J142" s="8"/>
      <c r="K142" s="8"/>
      <c r="L142" s="8"/>
      <c r="M142" s="8"/>
      <c r="N142" s="8"/>
      <c r="O142" s="8"/>
    </row>
    <row r="143">
      <c r="A143" s="147" t="s">
        <v>1209</v>
      </c>
      <c r="B143" s="25" t="s">
        <v>142</v>
      </c>
      <c r="C143" s="8" t="s">
        <v>61</v>
      </c>
      <c r="E143" s="8"/>
      <c r="F143" s="8"/>
      <c r="G143" s="8"/>
      <c r="H143" s="8"/>
      <c r="I143" s="8"/>
      <c r="J143" s="8"/>
      <c r="K143" s="8"/>
      <c r="L143" s="8"/>
      <c r="M143" s="8"/>
      <c r="N143" s="8"/>
      <c r="O143" s="8"/>
    </row>
    <row r="144">
      <c r="A144" s="147" t="s">
        <v>1210</v>
      </c>
      <c r="B144" s="25" t="s">
        <v>142</v>
      </c>
      <c r="C144" s="8" t="s">
        <v>61</v>
      </c>
      <c r="E144" s="8"/>
      <c r="F144" s="8"/>
      <c r="G144" s="8"/>
      <c r="H144" s="8"/>
      <c r="I144" s="8"/>
      <c r="J144" s="8"/>
      <c r="K144" s="8"/>
      <c r="L144" s="8"/>
      <c r="M144" s="8"/>
      <c r="N144" s="8"/>
      <c r="O144" s="8"/>
    </row>
    <row r="145">
      <c r="A145" s="147" t="s">
        <v>496</v>
      </c>
      <c r="B145" s="25" t="s">
        <v>142</v>
      </c>
      <c r="C145" s="8" t="s">
        <v>61</v>
      </c>
      <c r="E145" s="8"/>
      <c r="F145" s="8"/>
      <c r="G145" s="8"/>
      <c r="H145" s="8"/>
      <c r="I145" s="8"/>
      <c r="J145" s="8"/>
      <c r="K145" s="8"/>
      <c r="L145" s="8"/>
      <c r="M145" s="8"/>
      <c r="N145" s="8"/>
      <c r="O145" s="8"/>
    </row>
    <row r="146">
      <c r="A146" s="147" t="s">
        <v>1211</v>
      </c>
      <c r="B146" s="25" t="s">
        <v>142</v>
      </c>
      <c r="C146" s="8" t="s">
        <v>61</v>
      </c>
      <c r="E146" s="8"/>
      <c r="F146" s="8"/>
      <c r="G146" s="8"/>
      <c r="H146" s="8"/>
      <c r="I146" s="8"/>
      <c r="J146" s="8"/>
      <c r="K146" s="8"/>
      <c r="L146" s="8"/>
      <c r="M146" s="8"/>
      <c r="N146" s="8"/>
      <c r="O146" s="8"/>
    </row>
    <row r="147">
      <c r="A147" s="147" t="s">
        <v>1212</v>
      </c>
      <c r="B147" s="25" t="s">
        <v>142</v>
      </c>
      <c r="C147" s="8" t="s">
        <v>61</v>
      </c>
      <c r="E147" s="8"/>
      <c r="F147" s="8"/>
      <c r="G147" s="8"/>
      <c r="H147" s="8"/>
      <c r="I147" s="8"/>
      <c r="J147" s="8"/>
      <c r="K147" s="8"/>
      <c r="L147" s="8"/>
      <c r="M147" s="8"/>
      <c r="N147" s="8"/>
      <c r="O147" s="8"/>
    </row>
    <row r="148">
      <c r="A148" s="147" t="s">
        <v>1213</v>
      </c>
      <c r="B148" s="25" t="s">
        <v>142</v>
      </c>
      <c r="C148" s="8" t="s">
        <v>61</v>
      </c>
      <c r="E148" s="8"/>
      <c r="F148" s="8"/>
      <c r="G148" s="8"/>
      <c r="H148" s="8"/>
      <c r="I148" s="8"/>
      <c r="J148" s="8"/>
      <c r="K148" s="8"/>
      <c r="L148" s="8"/>
      <c r="M148" s="8"/>
      <c r="N148" s="8"/>
      <c r="O148" s="8"/>
    </row>
    <row r="149">
      <c r="A149" s="147" t="s">
        <v>1214</v>
      </c>
      <c r="B149" s="25" t="s">
        <v>142</v>
      </c>
      <c r="C149" s="8" t="s">
        <v>61</v>
      </c>
      <c r="E149" s="8"/>
      <c r="F149" s="8"/>
      <c r="G149" s="8"/>
      <c r="H149" s="8"/>
      <c r="I149" s="8"/>
      <c r="J149" s="8"/>
      <c r="K149" s="8"/>
      <c r="L149" s="8"/>
      <c r="M149" s="8"/>
      <c r="N149" s="8"/>
      <c r="O149" s="8"/>
    </row>
    <row r="150">
      <c r="A150" s="147" t="s">
        <v>1215</v>
      </c>
      <c r="B150" s="25" t="s">
        <v>250</v>
      </c>
      <c r="C150" s="8" t="s">
        <v>61</v>
      </c>
      <c r="E150" s="8"/>
      <c r="F150" s="8"/>
      <c r="G150" s="8"/>
      <c r="H150" s="8"/>
      <c r="I150" s="8"/>
      <c r="J150" s="8"/>
      <c r="K150" s="8"/>
      <c r="L150" s="8"/>
      <c r="M150" s="8"/>
      <c r="N150" s="8"/>
      <c r="O150" s="8"/>
    </row>
    <row r="151">
      <c r="A151" s="147" t="s">
        <v>1216</v>
      </c>
      <c r="B151" s="25" t="s">
        <v>250</v>
      </c>
      <c r="C151" s="8" t="s">
        <v>61</v>
      </c>
      <c r="E151" s="8"/>
      <c r="F151" s="8"/>
      <c r="G151" s="8"/>
      <c r="H151" s="8"/>
      <c r="I151" s="8"/>
      <c r="J151" s="8"/>
      <c r="K151" s="8"/>
      <c r="L151" s="8"/>
      <c r="M151" s="8"/>
      <c r="N151" s="8"/>
      <c r="O151" s="8"/>
    </row>
    <row r="152">
      <c r="A152" s="147" t="s">
        <v>1217</v>
      </c>
      <c r="B152" s="25" t="s">
        <v>149</v>
      </c>
      <c r="C152" s="8" t="s">
        <v>61</v>
      </c>
      <c r="E152" s="8"/>
      <c r="F152" s="8"/>
      <c r="G152" s="8"/>
      <c r="H152" s="8"/>
      <c r="I152" s="8"/>
      <c r="J152" s="8"/>
      <c r="K152" s="8"/>
      <c r="L152" s="8"/>
      <c r="M152" s="8"/>
      <c r="N152" s="8"/>
      <c r="O152" s="8"/>
    </row>
    <row r="153">
      <c r="A153" s="147" t="s">
        <v>249</v>
      </c>
      <c r="B153" s="25" t="s">
        <v>149</v>
      </c>
      <c r="C153" s="8" t="s">
        <v>61</v>
      </c>
      <c r="E153" s="8"/>
      <c r="F153" s="8"/>
      <c r="G153" s="8"/>
      <c r="H153" s="8"/>
      <c r="I153" s="8"/>
      <c r="J153" s="8"/>
      <c r="K153" s="8"/>
      <c r="L153" s="8"/>
      <c r="M153" s="8"/>
      <c r="N153" s="8"/>
      <c r="O153" s="8"/>
    </row>
    <row r="154">
      <c r="A154" s="147" t="s">
        <v>1218</v>
      </c>
      <c r="B154" s="155" t="s">
        <v>151</v>
      </c>
      <c r="C154" s="8" t="s">
        <v>61</v>
      </c>
      <c r="E154" s="8"/>
      <c r="F154" s="8"/>
      <c r="G154" s="8"/>
      <c r="H154" s="8"/>
      <c r="I154" s="8"/>
      <c r="J154" s="8"/>
      <c r="K154" s="8"/>
      <c r="L154" s="8"/>
      <c r="M154" s="8"/>
      <c r="N154" s="8"/>
      <c r="O154" s="8"/>
    </row>
    <row r="155">
      <c r="A155" s="147" t="s">
        <v>1219</v>
      </c>
      <c r="B155" s="155" t="s">
        <v>151</v>
      </c>
      <c r="C155" s="8" t="s">
        <v>61</v>
      </c>
      <c r="E155" s="8"/>
      <c r="F155" s="8"/>
      <c r="G155" s="8"/>
      <c r="H155" s="8"/>
      <c r="I155" s="8"/>
      <c r="J155" s="8"/>
      <c r="K155" s="8"/>
      <c r="L155" s="8"/>
      <c r="M155" s="8"/>
      <c r="N155" s="8"/>
      <c r="O155" s="8"/>
    </row>
    <row r="156">
      <c r="A156" s="147" t="s">
        <v>1220</v>
      </c>
      <c r="B156" s="155" t="s">
        <v>151</v>
      </c>
      <c r="C156" s="8" t="s">
        <v>61</v>
      </c>
      <c r="E156" s="8"/>
      <c r="F156" s="8"/>
      <c r="G156" s="8"/>
      <c r="H156" s="8"/>
      <c r="I156" s="8"/>
      <c r="J156" s="8"/>
      <c r="K156" s="8"/>
      <c r="L156" s="8"/>
      <c r="M156" s="8"/>
      <c r="N156" s="8"/>
      <c r="O156" s="8"/>
    </row>
    <row r="157">
      <c r="A157" s="147" t="s">
        <v>1221</v>
      </c>
      <c r="B157" s="155" t="s">
        <v>151</v>
      </c>
      <c r="C157" s="8" t="s">
        <v>61</v>
      </c>
      <c r="E157" s="8"/>
      <c r="F157" s="8"/>
      <c r="G157" s="8"/>
      <c r="H157" s="8"/>
      <c r="I157" s="8"/>
      <c r="J157" s="8"/>
      <c r="K157" s="8"/>
      <c r="L157" s="8"/>
      <c r="M157" s="8"/>
      <c r="N157" s="8"/>
      <c r="O157" s="8"/>
    </row>
    <row r="158">
      <c r="A158" s="147" t="s">
        <v>1222</v>
      </c>
      <c r="B158" s="155" t="s">
        <v>151</v>
      </c>
      <c r="C158" s="8" t="s">
        <v>61</v>
      </c>
      <c r="E158" s="8"/>
      <c r="F158" s="8"/>
      <c r="G158" s="8"/>
      <c r="H158" s="8"/>
      <c r="I158" s="8"/>
      <c r="J158" s="8"/>
      <c r="K158" s="8"/>
      <c r="L158" s="8"/>
      <c r="M158" s="8"/>
      <c r="N158" s="8"/>
      <c r="O158" s="8"/>
    </row>
    <row r="159">
      <c r="A159" s="147" t="s">
        <v>1223</v>
      </c>
      <c r="B159" s="155" t="s">
        <v>151</v>
      </c>
      <c r="C159" s="8" t="s">
        <v>61</v>
      </c>
      <c r="E159" s="8"/>
      <c r="F159" s="8"/>
      <c r="G159" s="8"/>
      <c r="H159" s="8"/>
      <c r="I159" s="8"/>
      <c r="J159" s="8"/>
      <c r="K159" s="8"/>
      <c r="L159" s="8"/>
      <c r="M159" s="8"/>
      <c r="N159" s="8"/>
      <c r="O159" s="8"/>
    </row>
    <row r="160">
      <c r="A160" s="147" t="s">
        <v>1224</v>
      </c>
      <c r="B160" s="155" t="s">
        <v>151</v>
      </c>
      <c r="C160" s="8" t="s">
        <v>61</v>
      </c>
      <c r="E160" s="8"/>
      <c r="F160" s="8"/>
      <c r="G160" s="8"/>
      <c r="H160" s="8"/>
      <c r="I160" s="8"/>
      <c r="J160" s="8"/>
      <c r="K160" s="8"/>
      <c r="L160" s="8"/>
      <c r="M160" s="8"/>
      <c r="N160" s="8"/>
      <c r="O160" s="8"/>
    </row>
    <row r="161">
      <c r="A161" s="147" t="s">
        <v>1225</v>
      </c>
      <c r="B161" s="155" t="s">
        <v>290</v>
      </c>
      <c r="C161" s="8" t="s">
        <v>61</v>
      </c>
      <c r="E161" s="8"/>
      <c r="F161" s="8"/>
      <c r="G161" s="8"/>
      <c r="H161" s="8"/>
      <c r="I161" s="8"/>
      <c r="J161" s="8"/>
      <c r="K161" s="8"/>
      <c r="L161" s="8"/>
      <c r="M161" s="8"/>
      <c r="N161" s="8"/>
      <c r="O161" s="8"/>
    </row>
    <row r="162">
      <c r="A162" s="147" t="s">
        <v>1226</v>
      </c>
      <c r="B162" s="155" t="s">
        <v>290</v>
      </c>
      <c r="C162" s="8" t="s">
        <v>61</v>
      </c>
      <c r="E162" s="8"/>
      <c r="F162" s="8"/>
      <c r="G162" s="8"/>
      <c r="H162" s="8"/>
      <c r="I162" s="8"/>
      <c r="J162" s="8"/>
      <c r="K162" s="8"/>
      <c r="L162" s="8"/>
      <c r="M162" s="8"/>
      <c r="N162" s="8"/>
      <c r="O162" s="8"/>
    </row>
    <row r="163">
      <c r="A163" s="147" t="s">
        <v>1227</v>
      </c>
      <c r="B163" s="155" t="s">
        <v>290</v>
      </c>
      <c r="C163" s="8" t="s">
        <v>61</v>
      </c>
      <c r="E163" s="8"/>
      <c r="F163" s="8"/>
      <c r="G163" s="8"/>
      <c r="H163" s="8"/>
      <c r="I163" s="8"/>
      <c r="J163" s="8"/>
      <c r="K163" s="8"/>
      <c r="L163" s="8"/>
      <c r="M163" s="8"/>
      <c r="N163" s="8"/>
      <c r="O163" s="8"/>
    </row>
    <row r="164">
      <c r="A164" s="147" t="s">
        <v>1228</v>
      </c>
      <c r="B164" s="155" t="s">
        <v>290</v>
      </c>
      <c r="C164" s="8" t="s">
        <v>61</v>
      </c>
      <c r="E164" s="8"/>
      <c r="F164" s="8"/>
      <c r="G164" s="8"/>
      <c r="H164" s="8"/>
      <c r="I164" s="8"/>
      <c r="J164" s="8"/>
      <c r="K164" s="8"/>
      <c r="L164" s="8"/>
      <c r="M164" s="8"/>
      <c r="N164" s="8"/>
      <c r="O164" s="8"/>
    </row>
    <row r="165">
      <c r="A165" s="147" t="s">
        <v>1229</v>
      </c>
      <c r="B165" s="155">
        <v>36526.0</v>
      </c>
      <c r="C165" s="8" t="s">
        <v>61</v>
      </c>
      <c r="E165" s="8"/>
      <c r="F165" s="8"/>
      <c r="G165" s="8"/>
      <c r="H165" s="8"/>
      <c r="I165" s="8"/>
      <c r="J165" s="8"/>
      <c r="K165" s="8"/>
      <c r="L165" s="8"/>
      <c r="M165" s="8"/>
      <c r="N165" s="8"/>
      <c r="O165" s="8"/>
    </row>
    <row r="166">
      <c r="A166" s="147" t="s">
        <v>1230</v>
      </c>
      <c r="B166" s="155">
        <v>36526.0</v>
      </c>
      <c r="C166" s="8" t="s">
        <v>61</v>
      </c>
      <c r="E166" s="8"/>
      <c r="F166" s="8"/>
      <c r="G166" s="8"/>
      <c r="H166" s="8"/>
      <c r="I166" s="8"/>
      <c r="J166" s="8"/>
      <c r="K166" s="8"/>
      <c r="L166" s="8"/>
      <c r="M166" s="8"/>
      <c r="N166" s="8"/>
      <c r="O166" s="8"/>
    </row>
    <row r="167">
      <c r="A167" s="147" t="s">
        <v>1231</v>
      </c>
      <c r="B167" s="155">
        <v>36526.0</v>
      </c>
      <c r="C167" s="8" t="s">
        <v>61</v>
      </c>
      <c r="E167" s="8"/>
      <c r="F167" s="8"/>
      <c r="G167" s="8"/>
      <c r="H167" s="8"/>
      <c r="I167" s="8"/>
      <c r="J167" s="8"/>
      <c r="K167" s="8"/>
      <c r="L167" s="8"/>
      <c r="M167" s="8"/>
      <c r="N167" s="8"/>
      <c r="O167" s="8"/>
    </row>
    <row r="168">
      <c r="A168" s="147" t="s">
        <v>1232</v>
      </c>
      <c r="B168" s="155">
        <v>36526.0</v>
      </c>
      <c r="C168" s="8" t="s">
        <v>61</v>
      </c>
      <c r="E168" s="8"/>
      <c r="F168" s="8"/>
      <c r="G168" s="8"/>
      <c r="H168" s="8"/>
      <c r="I168" s="8"/>
      <c r="J168" s="8"/>
      <c r="K168" s="8"/>
      <c r="L168" s="8"/>
      <c r="M168" s="8"/>
      <c r="N168" s="8"/>
      <c r="O168" s="8"/>
    </row>
    <row r="169">
      <c r="A169" s="147" t="s">
        <v>1233</v>
      </c>
      <c r="B169" s="155">
        <v>36526.0</v>
      </c>
      <c r="C169" s="8" t="s">
        <v>61</v>
      </c>
      <c r="E169" s="8"/>
      <c r="F169" s="8"/>
      <c r="G169" s="8"/>
      <c r="H169" s="8"/>
      <c r="I169" s="8"/>
      <c r="J169" s="8"/>
      <c r="K169" s="8"/>
      <c r="L169" s="8"/>
      <c r="M169" s="8"/>
      <c r="N169" s="8"/>
      <c r="O169" s="8"/>
    </row>
    <row r="170">
      <c r="A170" s="147" t="s">
        <v>1234</v>
      </c>
      <c r="B170" s="155">
        <v>36526.0</v>
      </c>
      <c r="C170" s="8" t="s">
        <v>61</v>
      </c>
      <c r="E170" s="8"/>
      <c r="F170" s="8"/>
      <c r="G170" s="8"/>
      <c r="H170" s="8"/>
      <c r="I170" s="8"/>
      <c r="J170" s="8"/>
      <c r="K170" s="8"/>
      <c r="L170" s="8"/>
      <c r="M170" s="8"/>
      <c r="N170" s="8"/>
      <c r="O170" s="8"/>
    </row>
    <row r="171">
      <c r="A171" s="147" t="s">
        <v>1235</v>
      </c>
      <c r="B171" s="155">
        <v>36526.0</v>
      </c>
      <c r="C171" s="8" t="s">
        <v>61</v>
      </c>
      <c r="E171" s="8"/>
      <c r="F171" s="8"/>
      <c r="G171" s="8"/>
      <c r="H171" s="8"/>
      <c r="I171" s="8"/>
      <c r="J171" s="8"/>
      <c r="K171" s="8"/>
      <c r="L171" s="8"/>
      <c r="M171" s="8"/>
      <c r="N171" s="8"/>
      <c r="O171" s="8"/>
    </row>
    <row r="172">
      <c r="A172" s="147" t="s">
        <v>518</v>
      </c>
      <c r="B172" s="155">
        <v>36526.0</v>
      </c>
      <c r="C172" s="8" t="s">
        <v>61</v>
      </c>
      <c r="E172" s="8"/>
      <c r="F172" s="8"/>
      <c r="G172" s="8"/>
      <c r="H172" s="8"/>
      <c r="I172" s="8"/>
      <c r="J172" s="8"/>
      <c r="K172" s="8"/>
      <c r="L172" s="8"/>
      <c r="M172" s="8"/>
      <c r="N172" s="8"/>
      <c r="O172" s="8"/>
    </row>
    <row r="173">
      <c r="A173" s="147" t="s">
        <v>1236</v>
      </c>
      <c r="B173" s="155">
        <v>36527.0</v>
      </c>
      <c r="C173" s="8" t="s">
        <v>61</v>
      </c>
      <c r="E173" s="8"/>
      <c r="F173" s="8"/>
      <c r="G173" s="8"/>
      <c r="H173" s="8"/>
      <c r="I173" s="8"/>
      <c r="J173" s="8"/>
      <c r="K173" s="8"/>
      <c r="L173" s="8"/>
      <c r="M173" s="8"/>
      <c r="N173" s="8"/>
      <c r="O173" s="8"/>
    </row>
    <row r="174">
      <c r="A174" s="147" t="s">
        <v>1237</v>
      </c>
      <c r="B174" s="155">
        <v>36528.0</v>
      </c>
      <c r="C174" s="8" t="s">
        <v>61</v>
      </c>
      <c r="E174" s="8"/>
      <c r="F174" s="8"/>
      <c r="G174" s="8"/>
      <c r="H174" s="8"/>
      <c r="I174" s="8"/>
      <c r="J174" s="8"/>
      <c r="K174" s="8"/>
      <c r="L174" s="8"/>
      <c r="M174" s="8"/>
      <c r="N174" s="8"/>
      <c r="O174" s="8"/>
    </row>
    <row r="175">
      <c r="A175" s="147" t="s">
        <v>1238</v>
      </c>
      <c r="B175" s="155">
        <v>36526.0</v>
      </c>
      <c r="C175" s="8" t="s">
        <v>61</v>
      </c>
      <c r="E175" s="8"/>
      <c r="F175" s="8"/>
      <c r="G175" s="8"/>
      <c r="H175" s="8"/>
      <c r="I175" s="8"/>
      <c r="J175" s="8"/>
      <c r="K175" s="8"/>
      <c r="L175" s="8"/>
      <c r="M175" s="8"/>
      <c r="N175" s="8"/>
      <c r="O175" s="8"/>
    </row>
    <row r="176">
      <c r="A176" s="147" t="s">
        <v>1239</v>
      </c>
      <c r="B176" s="155">
        <v>36526.0</v>
      </c>
      <c r="C176" s="8" t="s">
        <v>61</v>
      </c>
      <c r="E176" s="8"/>
      <c r="F176" s="8"/>
      <c r="G176" s="8"/>
      <c r="H176" s="8"/>
      <c r="I176" s="8"/>
      <c r="J176" s="8"/>
      <c r="K176" s="8"/>
      <c r="L176" s="8"/>
      <c r="M176" s="8"/>
      <c r="N176" s="8"/>
      <c r="O176" s="8"/>
    </row>
    <row r="177">
      <c r="A177" s="147" t="s">
        <v>1240</v>
      </c>
      <c r="B177" s="155">
        <v>36526.0</v>
      </c>
      <c r="C177" s="8" t="s">
        <v>61</v>
      </c>
      <c r="E177" s="8"/>
      <c r="F177" s="8"/>
      <c r="G177" s="8"/>
      <c r="H177" s="8"/>
      <c r="I177" s="8"/>
      <c r="J177" s="8"/>
      <c r="K177" s="8"/>
      <c r="L177" s="8"/>
      <c r="M177" s="8"/>
      <c r="N177" s="8"/>
      <c r="O177" s="8"/>
    </row>
    <row r="178">
      <c r="A178" s="147" t="s">
        <v>1241</v>
      </c>
      <c r="B178" s="155">
        <v>36526.0</v>
      </c>
      <c r="C178" s="8" t="s">
        <v>61</v>
      </c>
      <c r="E178" s="8"/>
      <c r="F178" s="8"/>
      <c r="G178" s="8"/>
      <c r="H178" s="8"/>
      <c r="I178" s="8"/>
      <c r="J178" s="8"/>
      <c r="K178" s="8"/>
      <c r="L178" s="8"/>
      <c r="M178" s="8"/>
      <c r="N178" s="8"/>
      <c r="O178" s="8"/>
    </row>
    <row r="179">
      <c r="A179" s="156" t="s">
        <v>1242</v>
      </c>
      <c r="B179" s="157">
        <v>36526.0</v>
      </c>
      <c r="C179" s="8" t="s">
        <v>61</v>
      </c>
      <c r="E179" s="8"/>
      <c r="F179" s="8"/>
      <c r="G179" s="8"/>
      <c r="H179" s="8"/>
      <c r="I179" s="8"/>
      <c r="J179" s="8"/>
      <c r="K179" s="8"/>
      <c r="L179" s="8"/>
      <c r="M179" s="8"/>
      <c r="N179" s="8"/>
      <c r="O179" s="8"/>
    </row>
    <row r="180">
      <c r="A180" s="86"/>
      <c r="B180" s="87"/>
      <c r="E180" s="8"/>
      <c r="F180" s="8"/>
      <c r="G180" s="8"/>
      <c r="H180" s="8"/>
      <c r="I180" s="8"/>
      <c r="J180" s="8"/>
      <c r="K180" s="8"/>
      <c r="L180" s="8"/>
      <c r="M180" s="8"/>
      <c r="N180" s="8"/>
      <c r="O180" s="8"/>
    </row>
    <row r="181">
      <c r="A181" s="86"/>
      <c r="B181" s="87"/>
      <c r="E181" s="8"/>
      <c r="F181" s="8"/>
      <c r="G181" s="8"/>
      <c r="H181" s="8"/>
      <c r="I181" s="8"/>
      <c r="J181" s="8"/>
      <c r="K181" s="8"/>
      <c r="L181" s="8"/>
      <c r="M181" s="8"/>
      <c r="N181" s="8"/>
      <c r="O181" s="8"/>
    </row>
    <row r="182">
      <c r="A182" s="86"/>
      <c r="B182" s="87"/>
      <c r="E182" s="8"/>
      <c r="F182" s="8"/>
      <c r="G182" s="8"/>
      <c r="H182" s="8"/>
      <c r="I182" s="8"/>
      <c r="J182" s="8"/>
      <c r="K182" s="8"/>
      <c r="L182" s="8"/>
      <c r="M182" s="8"/>
      <c r="N182" s="8"/>
      <c r="O182" s="8"/>
    </row>
    <row r="183">
      <c r="A183" s="86"/>
      <c r="B183" s="87"/>
      <c r="E183" s="8"/>
      <c r="F183" s="8"/>
      <c r="G183" s="8"/>
      <c r="H183" s="8"/>
      <c r="I183" s="8"/>
      <c r="J183" s="8"/>
      <c r="K183" s="8"/>
      <c r="L183" s="8"/>
      <c r="M183" s="8"/>
      <c r="N183" s="8"/>
      <c r="O183" s="8"/>
    </row>
    <row r="184">
      <c r="A184" s="86"/>
      <c r="B184" s="87"/>
      <c r="E184" s="8"/>
      <c r="F184" s="8"/>
      <c r="G184" s="8"/>
      <c r="H184" s="8"/>
      <c r="I184" s="8"/>
      <c r="J184" s="8"/>
      <c r="K184" s="8"/>
      <c r="L184" s="8"/>
      <c r="M184" s="8"/>
      <c r="N184" s="8"/>
      <c r="O184" s="8"/>
    </row>
    <row r="185">
      <c r="A185" s="86"/>
      <c r="B185" s="87"/>
      <c r="E185" s="8"/>
      <c r="F185" s="8"/>
      <c r="G185" s="8"/>
      <c r="H185" s="8"/>
      <c r="I185" s="8"/>
      <c r="J185" s="8"/>
      <c r="K185" s="8"/>
      <c r="L185" s="8"/>
      <c r="M185" s="8"/>
      <c r="N185" s="8"/>
      <c r="O185" s="8"/>
    </row>
    <row r="186">
      <c r="A186" s="86"/>
      <c r="B186" s="87"/>
      <c r="E186" s="8"/>
      <c r="F186" s="8"/>
      <c r="G186" s="8"/>
      <c r="H186" s="8"/>
      <c r="I186" s="8"/>
      <c r="J186" s="8"/>
      <c r="K186" s="8"/>
      <c r="L186" s="8"/>
      <c r="M186" s="8"/>
      <c r="N186" s="8"/>
      <c r="O186" s="8"/>
    </row>
    <row r="187">
      <c r="A187" s="86"/>
      <c r="B187" s="87"/>
      <c r="E187" s="8"/>
      <c r="F187" s="8"/>
      <c r="G187" s="8"/>
      <c r="H187" s="8"/>
      <c r="I187" s="8"/>
      <c r="J187" s="8"/>
      <c r="K187" s="8"/>
      <c r="L187" s="8"/>
      <c r="M187" s="8"/>
      <c r="N187" s="8"/>
      <c r="O187" s="8"/>
    </row>
    <row r="188">
      <c r="A188" s="86"/>
      <c r="B188" s="87"/>
      <c r="E188" s="8"/>
      <c r="F188" s="8"/>
      <c r="G188" s="8"/>
      <c r="H188" s="8"/>
      <c r="I188" s="8"/>
      <c r="J188" s="8"/>
      <c r="K188" s="8"/>
      <c r="L188" s="8"/>
      <c r="M188" s="8"/>
      <c r="N188" s="8"/>
      <c r="O188" s="8"/>
    </row>
    <row r="189">
      <c r="A189" s="86"/>
      <c r="B189" s="87"/>
      <c r="E189" s="8"/>
      <c r="F189" s="8"/>
      <c r="G189" s="8"/>
      <c r="H189" s="8"/>
      <c r="I189" s="8"/>
      <c r="J189" s="8"/>
      <c r="K189" s="8"/>
      <c r="L189" s="8"/>
      <c r="M189" s="8"/>
      <c r="N189" s="8"/>
      <c r="O189" s="8"/>
    </row>
    <row r="190">
      <c r="A190" s="86"/>
      <c r="B190" s="87"/>
      <c r="E190" s="8"/>
      <c r="F190" s="8"/>
      <c r="G190" s="8"/>
      <c r="H190" s="8"/>
      <c r="I190" s="8"/>
      <c r="J190" s="8"/>
      <c r="K190" s="8"/>
      <c r="L190" s="8"/>
      <c r="M190" s="8"/>
      <c r="N190" s="8"/>
      <c r="O190" s="8"/>
    </row>
    <row r="191">
      <c r="A191" s="86"/>
      <c r="B191" s="87"/>
      <c r="E191" s="8"/>
      <c r="F191" s="8"/>
      <c r="G191" s="8"/>
      <c r="H191" s="8"/>
      <c r="I191" s="8"/>
      <c r="J191" s="8"/>
      <c r="K191" s="8"/>
      <c r="L191" s="8"/>
      <c r="M191" s="8"/>
      <c r="N191" s="8"/>
      <c r="O191" s="8"/>
    </row>
    <row r="192">
      <c r="A192" s="86"/>
      <c r="B192" s="87"/>
      <c r="E192" s="8"/>
      <c r="F192" s="8"/>
      <c r="G192" s="8"/>
      <c r="H192" s="8"/>
      <c r="I192" s="8"/>
      <c r="J192" s="8"/>
      <c r="K192" s="8"/>
      <c r="L192" s="8"/>
      <c r="M192" s="8"/>
      <c r="N192" s="8"/>
      <c r="O192" s="8"/>
    </row>
    <row r="193">
      <c r="A193" s="86"/>
      <c r="B193" s="87"/>
      <c r="E193" s="8"/>
      <c r="F193" s="8"/>
      <c r="G193" s="8"/>
      <c r="H193" s="8"/>
      <c r="I193" s="8"/>
      <c r="J193" s="8"/>
      <c r="K193" s="8"/>
      <c r="L193" s="8"/>
      <c r="M193" s="8"/>
      <c r="N193" s="8"/>
      <c r="O193" s="8"/>
    </row>
    <row r="194">
      <c r="A194" s="86"/>
      <c r="B194" s="87"/>
      <c r="E194" s="8"/>
      <c r="F194" s="8"/>
      <c r="G194" s="8"/>
      <c r="H194" s="8"/>
      <c r="I194" s="8"/>
      <c r="J194" s="8"/>
      <c r="K194" s="8"/>
      <c r="L194" s="8"/>
      <c r="M194" s="8"/>
      <c r="N194" s="8"/>
      <c r="O194" s="8"/>
    </row>
    <row r="195">
      <c r="A195" s="86"/>
      <c r="B195" s="87"/>
      <c r="E195" s="8"/>
      <c r="F195" s="8"/>
      <c r="G195" s="8"/>
      <c r="H195" s="8"/>
      <c r="I195" s="8"/>
      <c r="J195" s="8"/>
      <c r="K195" s="8"/>
      <c r="L195" s="8"/>
      <c r="M195" s="8"/>
      <c r="N195" s="8"/>
      <c r="O195" s="8"/>
    </row>
    <row r="196">
      <c r="A196" s="86"/>
      <c r="B196" s="87"/>
      <c r="E196" s="8"/>
      <c r="F196" s="8"/>
      <c r="G196" s="8"/>
      <c r="H196" s="8"/>
      <c r="I196" s="8"/>
      <c r="J196" s="8"/>
      <c r="K196" s="8"/>
      <c r="L196" s="8"/>
      <c r="M196" s="8"/>
      <c r="N196" s="8"/>
      <c r="O196" s="8"/>
    </row>
    <row r="197">
      <c r="A197" s="86"/>
      <c r="B197" s="87"/>
      <c r="E197" s="8"/>
      <c r="F197" s="8"/>
      <c r="G197" s="8"/>
      <c r="H197" s="8"/>
      <c r="I197" s="8"/>
      <c r="J197" s="8"/>
      <c r="K197" s="8"/>
      <c r="L197" s="8"/>
      <c r="M197" s="8"/>
      <c r="N197" s="8"/>
      <c r="O197" s="8"/>
    </row>
    <row r="198">
      <c r="A198" s="86"/>
      <c r="B198" s="87"/>
      <c r="E198" s="8"/>
      <c r="F198" s="8"/>
      <c r="G198" s="8"/>
      <c r="H198" s="8"/>
      <c r="I198" s="8"/>
      <c r="J198" s="8"/>
      <c r="K198" s="8"/>
      <c r="L198" s="8"/>
      <c r="M198" s="8"/>
      <c r="N198" s="8"/>
      <c r="O198" s="8"/>
    </row>
    <row r="199">
      <c r="A199" s="86"/>
      <c r="B199" s="87"/>
      <c r="E199" s="8"/>
      <c r="F199" s="8"/>
      <c r="G199" s="8"/>
      <c r="H199" s="8"/>
      <c r="I199" s="8"/>
      <c r="J199" s="8"/>
      <c r="K199" s="8"/>
      <c r="L199" s="8"/>
      <c r="M199" s="8"/>
      <c r="N199" s="8"/>
      <c r="O199" s="8"/>
    </row>
    <row r="200">
      <c r="A200" s="86"/>
      <c r="B200" s="87"/>
      <c r="E200" s="8"/>
      <c r="F200" s="8"/>
      <c r="G200" s="8"/>
      <c r="H200" s="8"/>
      <c r="I200" s="8"/>
      <c r="J200" s="8"/>
      <c r="K200" s="8"/>
      <c r="L200" s="8"/>
      <c r="M200" s="8"/>
      <c r="N200" s="8"/>
      <c r="O200" s="8"/>
    </row>
    <row r="201">
      <c r="A201" s="86"/>
      <c r="B201" s="87"/>
      <c r="E201" s="8"/>
      <c r="F201" s="8"/>
      <c r="G201" s="8"/>
      <c r="H201" s="8"/>
      <c r="I201" s="8"/>
      <c r="J201" s="8"/>
      <c r="K201" s="8"/>
      <c r="L201" s="8"/>
      <c r="M201" s="8"/>
      <c r="N201" s="8"/>
      <c r="O201" s="8"/>
    </row>
    <row r="202">
      <c r="A202" s="86"/>
      <c r="B202" s="87"/>
      <c r="E202" s="8"/>
      <c r="F202" s="8"/>
      <c r="G202" s="8"/>
      <c r="H202" s="8"/>
      <c r="I202" s="8"/>
      <c r="J202" s="8"/>
      <c r="K202" s="8"/>
      <c r="L202" s="8"/>
      <c r="M202" s="8"/>
      <c r="N202" s="8"/>
      <c r="O202" s="8"/>
    </row>
    <row r="203">
      <c r="A203" s="86"/>
      <c r="B203" s="87"/>
      <c r="E203" s="8"/>
      <c r="F203" s="8"/>
      <c r="G203" s="8"/>
      <c r="H203" s="8"/>
      <c r="I203" s="8"/>
      <c r="J203" s="8"/>
      <c r="K203" s="8"/>
      <c r="L203" s="8"/>
      <c r="M203" s="8"/>
      <c r="N203" s="8"/>
      <c r="O203" s="8"/>
    </row>
    <row r="204">
      <c r="A204" s="86"/>
      <c r="B204" s="87"/>
      <c r="E204" s="8"/>
      <c r="F204" s="8"/>
      <c r="G204" s="8"/>
      <c r="H204" s="8"/>
      <c r="I204" s="8"/>
      <c r="J204" s="8"/>
      <c r="K204" s="8"/>
      <c r="L204" s="8"/>
      <c r="M204" s="8"/>
      <c r="N204" s="8"/>
      <c r="O204" s="8"/>
    </row>
    <row r="205">
      <c r="A205" s="86"/>
      <c r="B205" s="87"/>
      <c r="E205" s="8"/>
      <c r="F205" s="8"/>
      <c r="G205" s="8"/>
      <c r="H205" s="8"/>
      <c r="I205" s="8"/>
      <c r="J205" s="8"/>
      <c r="K205" s="8"/>
      <c r="L205" s="8"/>
      <c r="M205" s="8"/>
      <c r="N205" s="8"/>
      <c r="O205" s="8"/>
    </row>
    <row r="206">
      <c r="A206" s="86"/>
      <c r="E206" s="8"/>
      <c r="F206" s="8"/>
      <c r="G206" s="8"/>
      <c r="H206" s="8"/>
      <c r="I206" s="8"/>
      <c r="J206" s="8"/>
      <c r="K206" s="8"/>
      <c r="L206" s="8"/>
      <c r="M206" s="8"/>
      <c r="N206" s="8"/>
      <c r="O206" s="8"/>
    </row>
    <row r="207">
      <c r="E207" s="8"/>
      <c r="F207" s="8"/>
      <c r="G207" s="8"/>
      <c r="H207" s="8"/>
      <c r="I207" s="8"/>
      <c r="J207" s="8"/>
      <c r="K207" s="8"/>
      <c r="L207" s="8"/>
      <c r="M207" s="8"/>
      <c r="N207" s="8"/>
      <c r="O207" s="8"/>
    </row>
    <row r="208">
      <c r="E208" s="8"/>
      <c r="F208" s="8"/>
      <c r="G208" s="8"/>
      <c r="H208" s="8"/>
      <c r="I208" s="8"/>
      <c r="J208" s="8"/>
      <c r="K208" s="8"/>
      <c r="L208" s="8"/>
      <c r="M208" s="8"/>
      <c r="N208" s="8"/>
      <c r="O208" s="8"/>
    </row>
    <row r="209">
      <c r="E209" s="8"/>
      <c r="F209" s="8"/>
      <c r="G209" s="8"/>
      <c r="H209" s="8"/>
      <c r="I209" s="8"/>
      <c r="J209" s="8"/>
      <c r="K209" s="8"/>
      <c r="L209" s="8"/>
      <c r="M209" s="8"/>
      <c r="N209" s="8"/>
      <c r="O209" s="8"/>
    </row>
    <row r="210">
      <c r="E210" s="8"/>
      <c r="F210" s="8"/>
      <c r="G210" s="8"/>
      <c r="H210" s="8"/>
      <c r="I210" s="8"/>
      <c r="J210" s="8"/>
      <c r="K210" s="8"/>
      <c r="L210" s="8"/>
      <c r="M210" s="8"/>
      <c r="N210" s="8"/>
      <c r="O210" s="8"/>
    </row>
    <row r="211">
      <c r="E211" s="8"/>
      <c r="F211" s="8"/>
      <c r="G211" s="8"/>
      <c r="H211" s="8"/>
      <c r="I211" s="8"/>
      <c r="J211" s="8"/>
      <c r="K211" s="8"/>
      <c r="L211" s="8"/>
      <c r="M211" s="8"/>
      <c r="N211" s="8"/>
      <c r="O211" s="8"/>
    </row>
    <row r="212">
      <c r="E212" s="8"/>
      <c r="F212" s="8"/>
      <c r="G212" s="8"/>
      <c r="H212" s="8"/>
      <c r="I212" s="8"/>
      <c r="J212" s="8"/>
      <c r="K212" s="8"/>
      <c r="L212" s="8"/>
      <c r="M212" s="8"/>
      <c r="N212" s="8"/>
      <c r="O212" s="8"/>
    </row>
    <row r="213">
      <c r="E213" s="8"/>
      <c r="F213" s="8"/>
      <c r="G213" s="8"/>
      <c r="H213" s="8"/>
      <c r="I213" s="8"/>
      <c r="J213" s="8"/>
      <c r="K213" s="8"/>
      <c r="L213" s="8"/>
      <c r="M213" s="8"/>
      <c r="N213" s="8"/>
      <c r="O213" s="8"/>
    </row>
    <row r="214">
      <c r="E214" s="8"/>
      <c r="F214" s="8"/>
      <c r="G214" s="8"/>
      <c r="H214" s="8"/>
      <c r="I214" s="8"/>
      <c r="J214" s="8"/>
      <c r="K214" s="8"/>
      <c r="L214" s="8"/>
      <c r="M214" s="8"/>
      <c r="N214" s="8"/>
      <c r="O214" s="8"/>
    </row>
    <row r="215">
      <c r="E215" s="8"/>
      <c r="F215" s="8"/>
      <c r="G215" s="8"/>
      <c r="H215" s="8"/>
      <c r="I215" s="8"/>
      <c r="J215" s="8"/>
      <c r="K215" s="8"/>
      <c r="L215" s="8"/>
      <c r="M215" s="8"/>
      <c r="N215" s="8"/>
      <c r="O215" s="8"/>
    </row>
    <row r="216">
      <c r="E216" s="8"/>
      <c r="F216" s="8"/>
      <c r="G216" s="8"/>
      <c r="H216" s="8"/>
      <c r="I216" s="8"/>
      <c r="J216" s="8"/>
      <c r="K216" s="8"/>
      <c r="L216" s="8"/>
      <c r="M216" s="8"/>
      <c r="N216" s="8"/>
      <c r="O216" s="8"/>
    </row>
    <row r="217">
      <c r="E217" s="8"/>
      <c r="F217" s="8"/>
      <c r="G217" s="8"/>
      <c r="H217" s="8"/>
      <c r="I217" s="8"/>
      <c r="J217" s="8"/>
      <c r="K217" s="8"/>
      <c r="L217" s="8"/>
      <c r="M217" s="8"/>
      <c r="N217" s="8"/>
      <c r="O217" s="8"/>
    </row>
    <row r="218">
      <c r="E218" s="8"/>
      <c r="F218" s="8"/>
      <c r="G218" s="8"/>
      <c r="H218" s="8"/>
      <c r="I218" s="8"/>
      <c r="J218" s="8"/>
      <c r="K218" s="8"/>
      <c r="L218" s="8"/>
      <c r="M218" s="8"/>
      <c r="N218" s="8"/>
      <c r="O218" s="8"/>
    </row>
    <row r="219">
      <c r="E219" s="8"/>
      <c r="F219" s="8"/>
      <c r="G219" s="8"/>
      <c r="H219" s="8"/>
      <c r="I219" s="8"/>
      <c r="J219" s="8"/>
      <c r="K219" s="8"/>
      <c r="L219" s="8"/>
      <c r="M219" s="8"/>
      <c r="N219" s="8"/>
      <c r="O219" s="8"/>
    </row>
    <row r="220">
      <c r="E220" s="8"/>
      <c r="F220" s="8"/>
      <c r="G220" s="8"/>
      <c r="H220" s="8"/>
      <c r="I220" s="8"/>
      <c r="J220" s="8"/>
      <c r="K220" s="8"/>
      <c r="L220" s="8"/>
      <c r="M220" s="8"/>
      <c r="N220" s="8"/>
      <c r="O220" s="8"/>
    </row>
    <row r="221">
      <c r="E221" s="8"/>
      <c r="F221" s="8"/>
      <c r="G221" s="8"/>
      <c r="H221" s="8"/>
      <c r="I221" s="8"/>
      <c r="J221" s="8"/>
      <c r="K221" s="8"/>
      <c r="L221" s="8"/>
      <c r="M221" s="8"/>
      <c r="N221" s="8"/>
      <c r="O221" s="8"/>
    </row>
    <row r="222">
      <c r="E222" s="8"/>
      <c r="F222" s="8"/>
      <c r="G222" s="8"/>
      <c r="H222" s="8"/>
      <c r="I222" s="8"/>
      <c r="J222" s="8"/>
      <c r="K222" s="8"/>
      <c r="L222" s="8"/>
      <c r="M222" s="8"/>
      <c r="N222" s="8"/>
      <c r="O222" s="8"/>
    </row>
    <row r="223">
      <c r="E223" s="8"/>
      <c r="F223" s="8"/>
      <c r="G223" s="8"/>
      <c r="H223" s="8"/>
      <c r="I223" s="8"/>
      <c r="J223" s="8"/>
      <c r="K223" s="8"/>
      <c r="L223" s="8"/>
      <c r="M223" s="8"/>
      <c r="N223" s="8"/>
      <c r="O223" s="8"/>
    </row>
    <row r="224">
      <c r="E224" s="8"/>
      <c r="F224" s="8"/>
      <c r="G224" s="8"/>
      <c r="H224" s="8"/>
      <c r="I224" s="8"/>
      <c r="J224" s="8"/>
      <c r="K224" s="8"/>
      <c r="L224" s="8"/>
      <c r="M224" s="8"/>
      <c r="N224" s="8"/>
      <c r="O224" s="8"/>
    </row>
    <row r="225">
      <c r="E225" s="8"/>
      <c r="F225" s="8"/>
      <c r="G225" s="8"/>
      <c r="H225" s="8"/>
      <c r="I225" s="8"/>
      <c r="J225" s="8"/>
      <c r="K225" s="8"/>
      <c r="L225" s="8"/>
      <c r="M225" s="8"/>
      <c r="N225" s="8"/>
      <c r="O225" s="8"/>
    </row>
    <row r="226">
      <c r="E226" s="8"/>
      <c r="F226" s="8"/>
      <c r="G226" s="8"/>
      <c r="H226" s="8"/>
      <c r="I226" s="8"/>
      <c r="J226" s="8"/>
      <c r="K226" s="8"/>
      <c r="L226" s="8"/>
      <c r="M226" s="8"/>
      <c r="N226" s="8"/>
      <c r="O226" s="8"/>
    </row>
    <row r="227">
      <c r="E227" s="8"/>
      <c r="F227" s="8"/>
      <c r="G227" s="8"/>
      <c r="H227" s="8"/>
      <c r="I227" s="8"/>
      <c r="J227" s="8"/>
      <c r="K227" s="8"/>
      <c r="L227" s="8"/>
      <c r="M227" s="8"/>
      <c r="N227" s="8"/>
      <c r="O227" s="8"/>
    </row>
    <row r="228">
      <c r="E228" s="8"/>
      <c r="F228" s="8"/>
      <c r="G228" s="8"/>
      <c r="H228" s="8"/>
      <c r="I228" s="8"/>
      <c r="J228" s="8"/>
      <c r="K228" s="8"/>
      <c r="L228" s="8"/>
      <c r="M228" s="8"/>
      <c r="N228" s="8"/>
      <c r="O228" s="8"/>
    </row>
    <row r="229">
      <c r="E229" s="8"/>
      <c r="F229" s="8"/>
      <c r="G229" s="8"/>
      <c r="H229" s="8"/>
      <c r="I229" s="8"/>
      <c r="J229" s="8"/>
      <c r="K229" s="8"/>
      <c r="L229" s="8"/>
      <c r="M229" s="8"/>
      <c r="N229" s="8"/>
      <c r="O229" s="8"/>
    </row>
    <row r="230">
      <c r="E230" s="8"/>
      <c r="F230" s="8"/>
      <c r="G230" s="8"/>
      <c r="H230" s="8"/>
      <c r="I230" s="8"/>
      <c r="J230" s="8"/>
      <c r="K230" s="8"/>
      <c r="L230" s="8"/>
      <c r="M230" s="8"/>
      <c r="N230" s="8"/>
      <c r="O230" s="8"/>
    </row>
    <row r="231">
      <c r="E231" s="8"/>
      <c r="F231" s="8"/>
      <c r="G231" s="8"/>
      <c r="H231" s="8"/>
      <c r="I231" s="8"/>
      <c r="J231" s="8"/>
      <c r="K231" s="8"/>
      <c r="L231" s="8"/>
      <c r="M231" s="8"/>
      <c r="N231" s="8"/>
      <c r="O231" s="8"/>
    </row>
    <row r="232">
      <c r="E232" s="8"/>
      <c r="F232" s="8"/>
      <c r="G232" s="8"/>
      <c r="H232" s="8"/>
      <c r="I232" s="8"/>
      <c r="J232" s="8"/>
      <c r="K232" s="8"/>
      <c r="L232" s="8"/>
      <c r="M232" s="8"/>
      <c r="N232" s="8"/>
      <c r="O232" s="8"/>
    </row>
    <row r="233">
      <c r="E233" s="8"/>
      <c r="F233" s="8"/>
      <c r="G233" s="8"/>
      <c r="H233" s="8"/>
      <c r="I233" s="8"/>
      <c r="J233" s="8"/>
      <c r="K233" s="8"/>
      <c r="L233" s="8"/>
      <c r="M233" s="8"/>
      <c r="N233" s="8"/>
      <c r="O233" s="8"/>
    </row>
    <row r="234">
      <c r="E234" s="8"/>
      <c r="F234" s="8"/>
      <c r="G234" s="8"/>
      <c r="H234" s="8"/>
      <c r="I234" s="8"/>
      <c r="J234" s="8"/>
      <c r="K234" s="8"/>
      <c r="L234" s="8"/>
      <c r="M234" s="8"/>
      <c r="N234" s="8"/>
      <c r="O234" s="8"/>
    </row>
    <row r="235">
      <c r="E235" s="8"/>
      <c r="F235" s="8"/>
      <c r="G235" s="8"/>
      <c r="H235" s="8"/>
      <c r="I235" s="8"/>
      <c r="J235" s="8"/>
      <c r="K235" s="8"/>
      <c r="L235" s="8"/>
      <c r="M235" s="8"/>
      <c r="N235" s="8"/>
      <c r="O235" s="8"/>
    </row>
    <row r="236">
      <c r="E236" s="8"/>
      <c r="F236" s="8"/>
      <c r="G236" s="8"/>
      <c r="H236" s="8"/>
      <c r="I236" s="8"/>
      <c r="J236" s="8"/>
      <c r="K236" s="8"/>
      <c r="L236" s="8"/>
      <c r="M236" s="8"/>
      <c r="N236" s="8"/>
      <c r="O236" s="8"/>
    </row>
    <row r="237">
      <c r="E237" s="8"/>
      <c r="F237" s="8"/>
      <c r="G237" s="8"/>
      <c r="H237" s="8"/>
      <c r="I237" s="8"/>
      <c r="J237" s="8"/>
      <c r="K237" s="8"/>
      <c r="L237" s="8"/>
      <c r="M237" s="8"/>
      <c r="N237" s="8"/>
      <c r="O237" s="8"/>
    </row>
    <row r="238">
      <c r="E238" s="8"/>
      <c r="F238" s="8"/>
      <c r="G238" s="8"/>
      <c r="H238" s="8"/>
      <c r="I238" s="8"/>
      <c r="J238" s="8"/>
      <c r="K238" s="8"/>
      <c r="L238" s="8"/>
      <c r="M238" s="8"/>
      <c r="N238" s="8"/>
      <c r="O238" s="8"/>
    </row>
    <row r="239">
      <c r="E239" s="8"/>
      <c r="F239" s="8"/>
      <c r="G239" s="8"/>
      <c r="H239" s="8"/>
      <c r="I239" s="8"/>
      <c r="J239" s="8"/>
      <c r="K239" s="8"/>
      <c r="L239" s="8"/>
      <c r="M239" s="8"/>
      <c r="N239" s="8"/>
      <c r="O239" s="8"/>
    </row>
    <row r="240">
      <c r="E240" s="8"/>
      <c r="F240" s="8"/>
      <c r="G240" s="8"/>
      <c r="H240" s="8"/>
      <c r="I240" s="8"/>
      <c r="J240" s="8"/>
      <c r="K240" s="8"/>
      <c r="L240" s="8"/>
      <c r="M240" s="8"/>
      <c r="N240" s="8"/>
      <c r="O240" s="8"/>
    </row>
    <row r="241">
      <c r="E241" s="8"/>
      <c r="F241" s="8"/>
      <c r="G241" s="8"/>
      <c r="H241" s="8"/>
      <c r="I241" s="8"/>
      <c r="J241" s="8"/>
      <c r="K241" s="8"/>
      <c r="L241" s="8"/>
      <c r="M241" s="8"/>
      <c r="N241" s="8"/>
      <c r="O241" s="8"/>
    </row>
    <row r="242">
      <c r="E242" s="8"/>
      <c r="F242" s="8"/>
      <c r="G242" s="8"/>
      <c r="H242" s="8"/>
      <c r="I242" s="8"/>
      <c r="J242" s="8"/>
      <c r="K242" s="8"/>
      <c r="L242" s="8"/>
      <c r="M242" s="8"/>
      <c r="N242" s="8"/>
      <c r="O242" s="8"/>
    </row>
    <row r="243">
      <c r="E243" s="8"/>
      <c r="F243" s="8"/>
      <c r="G243" s="8"/>
      <c r="H243" s="8"/>
      <c r="I243" s="8"/>
      <c r="J243" s="8"/>
      <c r="K243" s="8"/>
      <c r="L243" s="8"/>
      <c r="M243" s="8"/>
      <c r="N243" s="8"/>
      <c r="O243" s="8"/>
    </row>
    <row r="244">
      <c r="E244" s="8"/>
      <c r="F244" s="8"/>
      <c r="G244" s="8"/>
      <c r="H244" s="8"/>
      <c r="I244" s="8"/>
      <c r="J244" s="8"/>
      <c r="K244" s="8"/>
      <c r="L244" s="8"/>
      <c r="M244" s="8"/>
      <c r="N244" s="8"/>
      <c r="O244" s="8"/>
    </row>
    <row r="245">
      <c r="E245" s="8"/>
      <c r="F245" s="8"/>
      <c r="G245" s="8"/>
      <c r="H245" s="8"/>
      <c r="I245" s="8"/>
      <c r="J245" s="8"/>
      <c r="K245" s="8"/>
      <c r="L245" s="8"/>
      <c r="M245" s="8"/>
      <c r="N245" s="8"/>
      <c r="O245" s="8"/>
    </row>
    <row r="246">
      <c r="E246" s="8"/>
      <c r="F246" s="8"/>
      <c r="G246" s="8"/>
      <c r="H246" s="8"/>
      <c r="I246" s="8"/>
      <c r="J246" s="8"/>
      <c r="K246" s="8"/>
      <c r="L246" s="8"/>
      <c r="M246" s="8"/>
      <c r="N246" s="8"/>
      <c r="O246" s="8"/>
    </row>
    <row r="247">
      <c r="E247" s="8"/>
      <c r="F247" s="8"/>
      <c r="G247" s="8"/>
      <c r="H247" s="8"/>
      <c r="I247" s="8"/>
      <c r="J247" s="8"/>
      <c r="K247" s="8"/>
      <c r="L247" s="8"/>
      <c r="M247" s="8"/>
      <c r="N247" s="8"/>
      <c r="O247" s="8"/>
    </row>
    <row r="248">
      <c r="E248" s="8"/>
      <c r="F248" s="8"/>
      <c r="G248" s="8"/>
      <c r="H248" s="8"/>
      <c r="I248" s="8"/>
      <c r="J248" s="8"/>
      <c r="K248" s="8"/>
      <c r="L248" s="8"/>
      <c r="M248" s="8"/>
      <c r="N248" s="8"/>
      <c r="O248" s="8"/>
    </row>
    <row r="249">
      <c r="E249" s="8"/>
      <c r="F249" s="8"/>
      <c r="G249" s="8"/>
      <c r="H249" s="8"/>
      <c r="I249" s="8"/>
      <c r="J249" s="8"/>
      <c r="K249" s="8"/>
      <c r="L249" s="8"/>
      <c r="M249" s="8"/>
      <c r="N249" s="8"/>
      <c r="O249" s="8"/>
    </row>
    <row r="250">
      <c r="E250" s="8"/>
      <c r="F250" s="8"/>
      <c r="G250" s="8"/>
      <c r="H250" s="8"/>
      <c r="I250" s="8"/>
      <c r="J250" s="8"/>
      <c r="K250" s="8"/>
      <c r="L250" s="8"/>
      <c r="M250" s="8"/>
      <c r="N250" s="8"/>
      <c r="O250" s="8"/>
    </row>
    <row r="251">
      <c r="E251" s="8"/>
      <c r="F251" s="8"/>
      <c r="G251" s="8"/>
      <c r="H251" s="8"/>
      <c r="I251" s="8"/>
      <c r="J251" s="8"/>
      <c r="K251" s="8"/>
      <c r="L251" s="8"/>
      <c r="M251" s="8"/>
      <c r="N251" s="8"/>
      <c r="O251" s="8"/>
    </row>
    <row r="252">
      <c r="E252" s="8"/>
      <c r="F252" s="8"/>
      <c r="G252" s="8"/>
      <c r="H252" s="8"/>
      <c r="I252" s="8"/>
      <c r="J252" s="8"/>
      <c r="K252" s="8"/>
      <c r="L252" s="8"/>
      <c r="M252" s="8"/>
      <c r="N252" s="8"/>
      <c r="O252" s="8"/>
    </row>
    <row r="253">
      <c r="E253" s="8"/>
      <c r="F253" s="8"/>
      <c r="G253" s="8"/>
      <c r="H253" s="8"/>
      <c r="I253" s="8"/>
      <c r="J253" s="8"/>
      <c r="K253" s="8"/>
      <c r="L253" s="8"/>
      <c r="M253" s="8"/>
      <c r="N253" s="8"/>
      <c r="O253" s="8"/>
    </row>
    <row r="254">
      <c r="E254" s="8"/>
      <c r="F254" s="8"/>
      <c r="G254" s="8"/>
      <c r="H254" s="8"/>
      <c r="I254" s="8"/>
      <c r="J254" s="8"/>
      <c r="K254" s="8"/>
      <c r="L254" s="8"/>
      <c r="M254" s="8"/>
      <c r="N254" s="8"/>
      <c r="O254" s="8"/>
    </row>
    <row r="255">
      <c r="E255" s="8"/>
      <c r="F255" s="8"/>
      <c r="G255" s="8"/>
      <c r="H255" s="8"/>
      <c r="I255" s="8"/>
      <c r="J255" s="8"/>
      <c r="K255" s="8"/>
      <c r="L255" s="8"/>
      <c r="M255" s="8"/>
      <c r="N255" s="8"/>
      <c r="O255" s="8"/>
    </row>
    <row r="256">
      <c r="E256" s="8"/>
      <c r="F256" s="8"/>
      <c r="G256" s="8"/>
      <c r="H256" s="8"/>
      <c r="I256" s="8"/>
      <c r="J256" s="8"/>
      <c r="K256" s="8"/>
      <c r="L256" s="8"/>
      <c r="M256" s="8"/>
      <c r="N256" s="8"/>
      <c r="O256" s="8"/>
    </row>
    <row r="257">
      <c r="E257" s="8"/>
      <c r="F257" s="8"/>
      <c r="G257" s="8"/>
      <c r="H257" s="8"/>
      <c r="I257" s="8"/>
      <c r="J257" s="8"/>
      <c r="K257" s="8"/>
      <c r="L257" s="8"/>
      <c r="M257" s="8"/>
      <c r="N257" s="8"/>
      <c r="O257" s="8"/>
    </row>
    <row r="258">
      <c r="E258" s="8"/>
      <c r="F258" s="8"/>
      <c r="G258" s="8"/>
      <c r="H258" s="8"/>
      <c r="I258" s="8"/>
      <c r="J258" s="8"/>
      <c r="K258" s="8"/>
      <c r="L258" s="8"/>
      <c r="M258" s="8"/>
      <c r="N258" s="8"/>
      <c r="O258" s="8"/>
    </row>
    <row r="259">
      <c r="E259" s="8"/>
      <c r="F259" s="8"/>
      <c r="G259" s="8"/>
      <c r="H259" s="8"/>
      <c r="I259" s="8"/>
      <c r="J259" s="8"/>
      <c r="K259" s="8"/>
      <c r="L259" s="8"/>
      <c r="M259" s="8"/>
      <c r="N259" s="8"/>
      <c r="O259" s="8"/>
    </row>
    <row r="260">
      <c r="E260" s="8"/>
      <c r="F260" s="8"/>
      <c r="G260" s="8"/>
      <c r="H260" s="8"/>
      <c r="I260" s="8"/>
      <c r="J260" s="8"/>
      <c r="K260" s="8"/>
      <c r="L260" s="8"/>
      <c r="M260" s="8"/>
      <c r="N260" s="8"/>
      <c r="O260" s="8"/>
    </row>
    <row r="261">
      <c r="E261" s="8"/>
      <c r="F261" s="8"/>
      <c r="G261" s="8"/>
      <c r="H261" s="8"/>
      <c r="I261" s="8"/>
      <c r="J261" s="8"/>
      <c r="K261" s="8"/>
      <c r="L261" s="8"/>
      <c r="M261" s="8"/>
      <c r="N261" s="8"/>
      <c r="O261" s="8"/>
    </row>
    <row r="262">
      <c r="E262" s="8"/>
      <c r="F262" s="8"/>
      <c r="G262" s="8"/>
      <c r="H262" s="8"/>
      <c r="I262" s="8"/>
      <c r="J262" s="8"/>
      <c r="K262" s="8"/>
      <c r="L262" s="8"/>
      <c r="M262" s="8"/>
      <c r="N262" s="8"/>
      <c r="O262" s="8"/>
    </row>
    <row r="263">
      <c r="E263" s="8"/>
      <c r="F263" s="8"/>
      <c r="G263" s="8"/>
      <c r="H263" s="8"/>
      <c r="I263" s="8"/>
      <c r="J263" s="8"/>
      <c r="K263" s="8"/>
      <c r="L263" s="8"/>
      <c r="M263" s="8"/>
      <c r="N263" s="8"/>
      <c r="O263" s="8"/>
    </row>
    <row r="264">
      <c r="E264" s="8"/>
      <c r="F264" s="8"/>
      <c r="G264" s="8"/>
      <c r="H264" s="8"/>
      <c r="I264" s="8"/>
      <c r="J264" s="8"/>
      <c r="K264" s="8"/>
      <c r="L264" s="8"/>
      <c r="M264" s="8"/>
      <c r="N264" s="8"/>
      <c r="O264" s="8"/>
    </row>
    <row r="265">
      <c r="E265" s="8"/>
      <c r="F265" s="8"/>
      <c r="G265" s="8"/>
      <c r="H265" s="8"/>
      <c r="I265" s="8"/>
      <c r="J265" s="8"/>
      <c r="K265" s="8"/>
      <c r="L265" s="8"/>
      <c r="M265" s="8"/>
      <c r="N265" s="8"/>
      <c r="O265" s="8"/>
    </row>
    <row r="266">
      <c r="E266" s="8"/>
      <c r="F266" s="8"/>
      <c r="G266" s="8"/>
      <c r="H266" s="8"/>
      <c r="I266" s="8"/>
      <c r="J266" s="8"/>
      <c r="K266" s="8"/>
      <c r="L266" s="8"/>
      <c r="M266" s="8"/>
      <c r="N266" s="8"/>
      <c r="O266" s="8"/>
    </row>
    <row r="267">
      <c r="E267" s="8"/>
      <c r="F267" s="8"/>
      <c r="G267" s="8"/>
      <c r="H267" s="8"/>
      <c r="I267" s="8"/>
      <c r="J267" s="8"/>
      <c r="K267" s="8"/>
      <c r="L267" s="8"/>
      <c r="M267" s="8"/>
      <c r="N267" s="8"/>
      <c r="O267" s="8"/>
    </row>
    <row r="268">
      <c r="E268" s="8"/>
      <c r="F268" s="8"/>
      <c r="G268" s="8"/>
      <c r="H268" s="8"/>
      <c r="I268" s="8"/>
      <c r="J268" s="8"/>
      <c r="K268" s="8"/>
      <c r="L268" s="8"/>
      <c r="M268" s="8"/>
      <c r="N268" s="8"/>
      <c r="O268" s="8"/>
    </row>
    <row r="269">
      <c r="E269" s="8"/>
      <c r="F269" s="8"/>
      <c r="G269" s="8"/>
      <c r="H269" s="8"/>
      <c r="I269" s="8"/>
      <c r="J269" s="8"/>
      <c r="K269" s="8"/>
      <c r="L269" s="8"/>
      <c r="M269" s="8"/>
      <c r="N269" s="8"/>
      <c r="O269" s="8"/>
    </row>
    <row r="270">
      <c r="E270" s="8"/>
      <c r="F270" s="8"/>
      <c r="G270" s="8"/>
      <c r="H270" s="8"/>
      <c r="I270" s="8"/>
      <c r="J270" s="8"/>
      <c r="K270" s="8"/>
      <c r="L270" s="8"/>
      <c r="M270" s="8"/>
      <c r="N270" s="8"/>
      <c r="O270" s="8"/>
    </row>
    <row r="271">
      <c r="E271" s="8"/>
      <c r="F271" s="8"/>
      <c r="G271" s="8"/>
      <c r="H271" s="8"/>
      <c r="I271" s="8"/>
      <c r="J271" s="8"/>
      <c r="K271" s="8"/>
      <c r="L271" s="8"/>
      <c r="M271" s="8"/>
      <c r="N271" s="8"/>
      <c r="O271" s="8"/>
    </row>
    <row r="272">
      <c r="E272" s="8"/>
      <c r="F272" s="8"/>
      <c r="G272" s="8"/>
      <c r="H272" s="8"/>
      <c r="I272" s="8"/>
      <c r="J272" s="8"/>
      <c r="K272" s="8"/>
      <c r="L272" s="8"/>
      <c r="M272" s="8"/>
      <c r="N272" s="8"/>
      <c r="O272" s="8"/>
    </row>
    <row r="273">
      <c r="E273" s="8"/>
      <c r="F273" s="8"/>
      <c r="G273" s="8"/>
      <c r="H273" s="8"/>
      <c r="I273" s="8"/>
      <c r="J273" s="8"/>
      <c r="K273" s="8"/>
      <c r="L273" s="8"/>
      <c r="M273" s="8"/>
      <c r="N273" s="8"/>
      <c r="O273" s="8"/>
    </row>
    <row r="274">
      <c r="E274" s="8"/>
      <c r="F274" s="8"/>
      <c r="G274" s="8"/>
      <c r="H274" s="8"/>
      <c r="I274" s="8"/>
      <c r="J274" s="8"/>
      <c r="K274" s="8"/>
      <c r="L274" s="8"/>
      <c r="M274" s="8"/>
      <c r="N274" s="8"/>
      <c r="O274" s="8"/>
    </row>
    <row r="275">
      <c r="E275" s="8"/>
      <c r="F275" s="8"/>
      <c r="G275" s="8"/>
      <c r="H275" s="8"/>
      <c r="I275" s="8"/>
      <c r="J275" s="8"/>
      <c r="K275" s="8"/>
      <c r="L275" s="8"/>
      <c r="M275" s="8"/>
      <c r="N275" s="8"/>
      <c r="O275" s="8"/>
    </row>
    <row r="276">
      <c r="E276" s="8"/>
      <c r="F276" s="8"/>
      <c r="G276" s="8"/>
      <c r="H276" s="8"/>
      <c r="I276" s="8"/>
      <c r="J276" s="8"/>
      <c r="K276" s="8"/>
      <c r="L276" s="8"/>
      <c r="M276" s="8"/>
      <c r="N276" s="8"/>
      <c r="O276" s="8"/>
    </row>
    <row r="277">
      <c r="E277" s="8"/>
      <c r="F277" s="8"/>
      <c r="G277" s="8"/>
      <c r="H277" s="8"/>
      <c r="I277" s="8"/>
      <c r="J277" s="8"/>
      <c r="K277" s="8"/>
      <c r="L277" s="8"/>
      <c r="M277" s="8"/>
      <c r="N277" s="8"/>
      <c r="O277" s="8"/>
    </row>
    <row r="278">
      <c r="E278" s="8"/>
      <c r="F278" s="8"/>
      <c r="G278" s="8"/>
      <c r="H278" s="8"/>
      <c r="I278" s="8"/>
      <c r="J278" s="8"/>
      <c r="K278" s="8"/>
      <c r="L278" s="8"/>
      <c r="M278" s="8"/>
      <c r="N278" s="8"/>
      <c r="O278" s="8"/>
    </row>
    <row r="279">
      <c r="E279" s="8"/>
      <c r="F279" s="8"/>
      <c r="G279" s="8"/>
      <c r="H279" s="8"/>
      <c r="I279" s="8"/>
      <c r="J279" s="8"/>
      <c r="K279" s="8"/>
      <c r="L279" s="8"/>
      <c r="M279" s="8"/>
      <c r="N279" s="8"/>
      <c r="O279" s="8"/>
    </row>
    <row r="280">
      <c r="E280" s="8"/>
      <c r="F280" s="8"/>
      <c r="G280" s="8"/>
      <c r="H280" s="8"/>
      <c r="I280" s="8"/>
      <c r="J280" s="8"/>
      <c r="K280" s="8"/>
      <c r="L280" s="8"/>
      <c r="M280" s="8"/>
      <c r="N280" s="8"/>
      <c r="O280" s="8"/>
    </row>
    <row r="281">
      <c r="E281" s="8"/>
      <c r="F281" s="8"/>
      <c r="G281" s="8"/>
      <c r="H281" s="8"/>
      <c r="I281" s="8"/>
      <c r="J281" s="8"/>
      <c r="K281" s="8"/>
      <c r="L281" s="8"/>
      <c r="M281" s="8"/>
      <c r="N281" s="8"/>
      <c r="O281" s="8"/>
    </row>
    <row r="282">
      <c r="E282" s="8"/>
      <c r="F282" s="8"/>
      <c r="G282" s="8"/>
      <c r="H282" s="8"/>
      <c r="I282" s="8"/>
      <c r="J282" s="8"/>
      <c r="K282" s="8"/>
      <c r="L282" s="8"/>
      <c r="M282" s="8"/>
      <c r="N282" s="8"/>
      <c r="O282" s="8"/>
    </row>
    <row r="283">
      <c r="E283" s="8"/>
      <c r="F283" s="8"/>
      <c r="G283" s="8"/>
      <c r="H283" s="8"/>
      <c r="I283" s="8"/>
      <c r="J283" s="8"/>
      <c r="K283" s="8"/>
      <c r="L283" s="8"/>
      <c r="M283" s="8"/>
      <c r="N283" s="8"/>
      <c r="O283" s="8"/>
    </row>
    <row r="284">
      <c r="E284" s="8"/>
      <c r="F284" s="8"/>
      <c r="G284" s="8"/>
      <c r="H284" s="8"/>
      <c r="I284" s="8"/>
      <c r="J284" s="8"/>
      <c r="K284" s="8"/>
      <c r="L284" s="8"/>
      <c r="M284" s="8"/>
      <c r="N284" s="8"/>
      <c r="O284" s="8"/>
    </row>
    <row r="285">
      <c r="E285" s="8"/>
      <c r="F285" s="8"/>
      <c r="G285" s="8"/>
      <c r="H285" s="8"/>
      <c r="I285" s="8"/>
      <c r="J285" s="8"/>
      <c r="K285" s="8"/>
      <c r="L285" s="8"/>
      <c r="M285" s="8"/>
      <c r="N285" s="8"/>
      <c r="O285" s="8"/>
    </row>
    <row r="286">
      <c r="E286" s="8"/>
      <c r="F286" s="8"/>
      <c r="G286" s="8"/>
      <c r="H286" s="8"/>
      <c r="I286" s="8"/>
      <c r="J286" s="8"/>
      <c r="K286" s="8"/>
      <c r="L286" s="8"/>
      <c r="M286" s="8"/>
      <c r="N286" s="8"/>
      <c r="O286" s="8"/>
    </row>
    <row r="287">
      <c r="E287" s="8"/>
      <c r="F287" s="8"/>
      <c r="G287" s="8"/>
      <c r="H287" s="8"/>
      <c r="I287" s="8"/>
      <c r="J287" s="8"/>
      <c r="K287" s="8"/>
      <c r="L287" s="8"/>
      <c r="M287" s="8"/>
      <c r="N287" s="8"/>
      <c r="O287" s="8"/>
    </row>
    <row r="288">
      <c r="E288" s="8"/>
      <c r="F288" s="8"/>
      <c r="G288" s="8"/>
      <c r="H288" s="8"/>
      <c r="I288" s="8"/>
      <c r="J288" s="8"/>
      <c r="K288" s="8"/>
      <c r="L288" s="8"/>
      <c r="M288" s="8"/>
      <c r="N288" s="8"/>
      <c r="O288" s="8"/>
    </row>
    <row r="289">
      <c r="E289" s="8"/>
      <c r="F289" s="8"/>
      <c r="G289" s="8"/>
      <c r="H289" s="8"/>
      <c r="I289" s="8"/>
      <c r="J289" s="8"/>
      <c r="K289" s="8"/>
      <c r="L289" s="8"/>
      <c r="M289" s="8"/>
      <c r="N289" s="8"/>
      <c r="O289" s="8"/>
    </row>
    <row r="290">
      <c r="E290" s="8"/>
      <c r="F290" s="8"/>
      <c r="G290" s="8"/>
      <c r="H290" s="8"/>
      <c r="I290" s="8"/>
      <c r="J290" s="8"/>
      <c r="K290" s="8"/>
      <c r="L290" s="8"/>
      <c r="M290" s="8"/>
      <c r="N290" s="8"/>
      <c r="O290" s="8"/>
    </row>
    <row r="291">
      <c r="E291" s="8"/>
      <c r="F291" s="8"/>
      <c r="G291" s="8"/>
      <c r="H291" s="8"/>
      <c r="I291" s="8"/>
      <c r="J291" s="8"/>
      <c r="K291" s="8"/>
      <c r="L291" s="8"/>
      <c r="M291" s="8"/>
      <c r="N291" s="8"/>
      <c r="O291" s="8"/>
    </row>
    <row r="292">
      <c r="E292" s="8"/>
      <c r="F292" s="8"/>
      <c r="G292" s="8"/>
      <c r="H292" s="8"/>
      <c r="I292" s="8"/>
      <c r="J292" s="8"/>
      <c r="K292" s="8"/>
      <c r="L292" s="8"/>
      <c r="M292" s="8"/>
      <c r="N292" s="8"/>
      <c r="O292" s="8"/>
    </row>
    <row r="293">
      <c r="E293" s="8"/>
      <c r="F293" s="8"/>
      <c r="G293" s="8"/>
      <c r="H293" s="8"/>
      <c r="I293" s="8"/>
      <c r="J293" s="8"/>
      <c r="K293" s="8"/>
      <c r="L293" s="8"/>
      <c r="M293" s="8"/>
      <c r="N293" s="8"/>
      <c r="O293" s="8"/>
    </row>
    <row r="294">
      <c r="E294" s="8"/>
      <c r="F294" s="8"/>
      <c r="G294" s="8"/>
      <c r="H294" s="8"/>
      <c r="I294" s="8"/>
      <c r="J294" s="8"/>
      <c r="K294" s="8"/>
      <c r="L294" s="8"/>
      <c r="M294" s="8"/>
      <c r="N294" s="8"/>
      <c r="O294" s="8"/>
    </row>
    <row r="295">
      <c r="E295" s="8"/>
      <c r="F295" s="8"/>
      <c r="G295" s="8"/>
      <c r="H295" s="8"/>
      <c r="I295" s="8"/>
      <c r="J295" s="8"/>
      <c r="K295" s="8"/>
      <c r="L295" s="8"/>
      <c r="M295" s="8"/>
      <c r="N295" s="8"/>
      <c r="O295" s="8"/>
    </row>
    <row r="296">
      <c r="E296" s="8"/>
      <c r="F296" s="8"/>
      <c r="G296" s="8"/>
      <c r="H296" s="8"/>
      <c r="I296" s="8"/>
      <c r="J296" s="8"/>
      <c r="K296" s="8"/>
      <c r="L296" s="8"/>
      <c r="M296" s="8"/>
      <c r="N296" s="8"/>
      <c r="O296" s="8"/>
    </row>
    <row r="297">
      <c r="E297" s="8"/>
      <c r="F297" s="8"/>
      <c r="G297" s="8"/>
      <c r="H297" s="8"/>
      <c r="I297" s="8"/>
      <c r="J297" s="8"/>
      <c r="K297" s="8"/>
      <c r="L297" s="8"/>
      <c r="M297" s="8"/>
      <c r="N297" s="8"/>
      <c r="O297" s="8"/>
    </row>
    <row r="298">
      <c r="E298" s="8"/>
      <c r="F298" s="8"/>
      <c r="G298" s="8"/>
      <c r="H298" s="8"/>
      <c r="I298" s="8"/>
      <c r="J298" s="8"/>
      <c r="K298" s="8"/>
      <c r="L298" s="8"/>
      <c r="M298" s="8"/>
      <c r="N298" s="8"/>
      <c r="O298" s="8"/>
    </row>
    <row r="299">
      <c r="E299" s="8"/>
      <c r="F299" s="8"/>
      <c r="G299" s="8"/>
      <c r="H299" s="8"/>
      <c r="I299" s="8"/>
      <c r="J299" s="8"/>
      <c r="K299" s="8"/>
      <c r="L299" s="8"/>
      <c r="M299" s="8"/>
      <c r="N299" s="8"/>
      <c r="O299" s="8"/>
    </row>
    <row r="300">
      <c r="E300" s="8"/>
      <c r="F300" s="8"/>
      <c r="G300" s="8"/>
      <c r="H300" s="8"/>
      <c r="I300" s="8"/>
      <c r="J300" s="8"/>
      <c r="K300" s="8"/>
      <c r="L300" s="8"/>
      <c r="M300" s="8"/>
      <c r="N300" s="8"/>
      <c r="O300" s="8"/>
    </row>
    <row r="301">
      <c r="E301" s="8"/>
      <c r="F301" s="8"/>
      <c r="G301" s="8"/>
      <c r="H301" s="8"/>
      <c r="I301" s="8"/>
      <c r="J301" s="8"/>
      <c r="K301" s="8"/>
      <c r="L301" s="8"/>
      <c r="M301" s="8"/>
      <c r="N301" s="8"/>
      <c r="O301" s="8"/>
    </row>
    <row r="302">
      <c r="E302" s="8"/>
      <c r="F302" s="8"/>
      <c r="G302" s="8"/>
      <c r="H302" s="8"/>
      <c r="I302" s="8"/>
      <c r="J302" s="8"/>
      <c r="K302" s="8"/>
      <c r="L302" s="8"/>
      <c r="M302" s="8"/>
      <c r="N302" s="8"/>
      <c r="O302" s="8"/>
    </row>
    <row r="303">
      <c r="E303" s="8"/>
      <c r="F303" s="8"/>
      <c r="G303" s="8"/>
      <c r="H303" s="8"/>
      <c r="I303" s="8"/>
      <c r="J303" s="8"/>
      <c r="K303" s="8"/>
      <c r="L303" s="8"/>
      <c r="M303" s="8"/>
      <c r="N303" s="8"/>
      <c r="O303" s="8"/>
    </row>
    <row r="304">
      <c r="E304" s="8"/>
      <c r="F304" s="8"/>
      <c r="G304" s="8"/>
      <c r="H304" s="8"/>
      <c r="I304" s="8"/>
      <c r="J304" s="8"/>
      <c r="K304" s="8"/>
      <c r="L304" s="8"/>
      <c r="M304" s="8"/>
      <c r="N304" s="8"/>
      <c r="O304" s="8"/>
    </row>
    <row r="305">
      <c r="E305" s="8"/>
      <c r="F305" s="8"/>
      <c r="G305" s="8"/>
      <c r="H305" s="8"/>
      <c r="I305" s="8"/>
      <c r="J305" s="8"/>
      <c r="K305" s="8"/>
      <c r="L305" s="8"/>
      <c r="M305" s="8"/>
      <c r="N305" s="8"/>
      <c r="O305" s="8"/>
    </row>
    <row r="306">
      <c r="E306" s="8"/>
      <c r="F306" s="8"/>
      <c r="G306" s="8"/>
      <c r="H306" s="8"/>
      <c r="I306" s="8"/>
      <c r="J306" s="8"/>
      <c r="K306" s="8"/>
      <c r="L306" s="8"/>
      <c r="M306" s="8"/>
      <c r="N306" s="8"/>
      <c r="O306" s="8"/>
    </row>
    <row r="307">
      <c r="E307" s="8"/>
      <c r="F307" s="8"/>
      <c r="G307" s="8"/>
      <c r="H307" s="8"/>
      <c r="I307" s="8"/>
      <c r="J307" s="8"/>
      <c r="K307" s="8"/>
      <c r="L307" s="8"/>
      <c r="M307" s="8"/>
      <c r="N307" s="8"/>
      <c r="O307" s="8"/>
    </row>
    <row r="308">
      <c r="E308" s="8"/>
      <c r="F308" s="8"/>
      <c r="G308" s="8"/>
      <c r="H308" s="8"/>
      <c r="I308" s="8"/>
      <c r="J308" s="8"/>
      <c r="K308" s="8"/>
      <c r="L308" s="8"/>
      <c r="M308" s="8"/>
      <c r="N308" s="8"/>
      <c r="O308" s="8"/>
    </row>
    <row r="309">
      <c r="E309" s="8"/>
      <c r="F309" s="8"/>
      <c r="G309" s="8"/>
      <c r="H309" s="8"/>
      <c r="I309" s="8"/>
      <c r="J309" s="8"/>
      <c r="K309" s="8"/>
      <c r="L309" s="8"/>
      <c r="M309" s="8"/>
      <c r="N309" s="8"/>
      <c r="O309" s="8"/>
    </row>
    <row r="310">
      <c r="E310" s="8"/>
      <c r="F310" s="8"/>
      <c r="G310" s="8"/>
      <c r="H310" s="8"/>
      <c r="I310" s="8"/>
      <c r="J310" s="8"/>
      <c r="K310" s="8"/>
      <c r="L310" s="8"/>
      <c r="M310" s="8"/>
      <c r="N310" s="8"/>
      <c r="O310" s="8"/>
    </row>
    <row r="311">
      <c r="E311" s="8"/>
      <c r="F311" s="8"/>
      <c r="G311" s="8"/>
      <c r="H311" s="8"/>
      <c r="I311" s="8"/>
      <c r="J311" s="8"/>
      <c r="K311" s="8"/>
      <c r="L311" s="8"/>
      <c r="M311" s="8"/>
      <c r="N311" s="8"/>
      <c r="O311" s="8"/>
    </row>
    <row r="312">
      <c r="E312" s="8"/>
      <c r="F312" s="8"/>
      <c r="G312" s="8"/>
      <c r="H312" s="8"/>
      <c r="I312" s="8"/>
      <c r="J312" s="8"/>
      <c r="K312" s="8"/>
      <c r="L312" s="8"/>
      <c r="M312" s="8"/>
      <c r="N312" s="8"/>
      <c r="O312" s="8"/>
    </row>
    <row r="313">
      <c r="E313" s="8"/>
      <c r="F313" s="8"/>
      <c r="G313" s="8"/>
      <c r="H313" s="8"/>
      <c r="I313" s="8"/>
      <c r="J313" s="8"/>
      <c r="K313" s="8"/>
      <c r="L313" s="8"/>
      <c r="M313" s="8"/>
      <c r="N313" s="8"/>
      <c r="O313" s="8"/>
    </row>
    <row r="314">
      <c r="E314" s="8"/>
      <c r="F314" s="8"/>
      <c r="G314" s="8"/>
      <c r="H314" s="8"/>
      <c r="I314" s="8"/>
      <c r="J314" s="8"/>
      <c r="K314" s="8"/>
      <c r="L314" s="8"/>
      <c r="M314" s="8"/>
      <c r="N314" s="8"/>
      <c r="O314" s="8"/>
    </row>
    <row r="315">
      <c r="E315" s="8"/>
      <c r="F315" s="8"/>
      <c r="G315" s="8"/>
      <c r="H315" s="8"/>
      <c r="I315" s="8"/>
      <c r="J315" s="8"/>
      <c r="K315" s="8"/>
      <c r="L315" s="8"/>
      <c r="M315" s="8"/>
      <c r="N315" s="8"/>
      <c r="O315" s="8"/>
    </row>
    <row r="316">
      <c r="E316" s="8"/>
      <c r="F316" s="8"/>
      <c r="G316" s="8"/>
      <c r="H316" s="8"/>
      <c r="I316" s="8"/>
      <c r="J316" s="8"/>
      <c r="K316" s="8"/>
      <c r="L316" s="8"/>
      <c r="M316" s="8"/>
      <c r="N316" s="8"/>
      <c r="O316" s="8"/>
    </row>
    <row r="317">
      <c r="E317" s="8"/>
      <c r="F317" s="8"/>
      <c r="G317" s="8"/>
      <c r="H317" s="8"/>
      <c r="I317" s="8"/>
    </row>
  </sheetData>
  <mergeCells count="6">
    <mergeCell ref="A1:L1"/>
    <mergeCell ref="A2:L2"/>
    <mergeCell ref="A3:L3"/>
    <mergeCell ref="A4:L4"/>
    <mergeCell ref="J23:K23"/>
    <mergeCell ref="A58:B58"/>
  </mergeCells>
  <conditionalFormatting sqref="D55">
    <cfRule type="cellIs" dxfId="0" priority="1" operator="equal">
      <formula>"Yes"</formula>
    </cfRule>
  </conditionalFormatting>
  <conditionalFormatting sqref="D55">
    <cfRule type="cellIs" dxfId="1" priority="2" operator="equal">
      <formula>"No"</formula>
    </cfRule>
  </conditionalFormatting>
  <drawing r:id="rId1"/>
</worksheet>
</file>